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개요" sheetId="1" state="visible" r:id="rId1"/>
    <sheet xmlns:r="http://schemas.openxmlformats.org/officeDocument/2006/relationships" name="기능목록(Master)" sheetId="2" state="visible" r:id="rId2"/>
    <sheet xmlns:r="http://schemas.openxmlformats.org/officeDocument/2006/relationships" name="F1 위치탐색" sheetId="3" state="visible" r:id="rId3"/>
    <sheet xmlns:r="http://schemas.openxmlformats.org/officeDocument/2006/relationships" name="F2 점심특선피드" sheetId="4" state="visible" r:id="rId4"/>
    <sheet xmlns:r="http://schemas.openxmlformats.org/officeDocument/2006/relationships" name="F3 쿠폰발급사용" sheetId="5" state="visible" r:id="rId5"/>
    <sheet xmlns:r="http://schemas.openxmlformats.org/officeDocument/2006/relationships" name="F4 매장특선관리" sheetId="6" state="visible" r:id="rId6"/>
    <sheet xmlns:r="http://schemas.openxmlformats.org/officeDocument/2006/relationships" name="F5 쿠폰발행통계" sheetId="7" state="visible" r:id="rId7"/>
    <sheet xmlns:r="http://schemas.openxmlformats.org/officeDocument/2006/relationships" name="OPS 운영공통" sheetId="8" state="visible" r:id="rId8"/>
    <sheet xmlns:r="http://schemas.openxmlformats.org/officeDocument/2006/relationships" name="Phase2_3 약식" sheetId="9" state="visible" r:id="rId9"/>
    <sheet xmlns:r="http://schemas.openxmlformats.org/officeDocument/2006/relationships" name="화면ID" sheetId="10" state="visible" r:id="rId10"/>
    <sheet xmlns:r="http://schemas.openxmlformats.org/officeDocument/2006/relationships" name="API목록" sheetId="11" state="visible" r:id="rId11"/>
    <sheet xmlns:r="http://schemas.openxmlformats.org/officeDocument/2006/relationships" name="변경이력" sheetId="12" state="visible" r:id="rId12"/>
  </sheets>
  <definedNames>
    <definedName hidden="1" localSheetId="1" name="_xlnm._FilterDatabase">기능목록(Master)!$A$1:$F$60</definedName>
    <definedName hidden="1" localSheetId="10" name="_xlnm._FilterDatabase">API목록!$A$4:$E$38</definedName>
  </definedNames>
  <calcPr calcId="124519" fullCalcOnLoad="1"/>
</workbook>
</file>

<file path=xl/sharedStrings.xml><?xml version="1.0" encoding="utf-8"?>
<sst xmlns="http://schemas.openxmlformats.org/spreadsheetml/2006/main" uniqueCount="803">
  <si>
    <t>기능 명세서 (Functional Specification)</t>
  </si>
  <si>
    <t>점심특강 (Lunch Special Lecture)</t>
  </si>
  <si>
    <t>프로젝트명</t>
  </si>
  <si>
    <t>작성일</t>
  </si>
  <si>
    <t>2026-05-31</t>
  </si>
  <si>
    <t>버전</t>
  </si>
  <si>
    <t>v1.0</t>
  </si>
  <si>
    <t>근거 문서 1</t>
  </si>
  <si>
    <t>요구사항정의서.md v1.0 (REQ 61건 + NFR 25건 + US 15건)</t>
  </si>
  <si>
    <t>근거 문서 2</t>
  </si>
  <si>
    <t>서비스기획서.md v1.0</t>
  </si>
  <si>
    <t>근거 문서 3</t>
  </si>
  <si>
    <t>착수보고서.md v1.2</t>
  </si>
  <si>
    <t>ID 체계</t>
  </si>
  <si>
    <t>기능 ID</t>
  </si>
  <si>
    <t>F-{기능군 2자리}{순번 2자리} (예: F-0101 = F1 그룹 1번째)</t>
  </si>
  <si>
    <t>화면 ID</t>
  </si>
  <si>
    <t>SCR-{앱구분}-{순번} (USR=사용자, OWN=사장님, ADM=어드민)</t>
  </si>
  <si>
    <t>API ID</t>
  </si>
  <si>
    <t>API-{METHOD}-{path-slug} (예: API-GET-restaurants)</t>
  </si>
  <si>
    <t>총 기능 수</t>
  </si>
  <si>
    <t>59건 (Must 47 + Should 8 + Could 4)</t>
  </si>
  <si>
    <t>MVP Must</t>
  </si>
  <si>
    <t>47건 — F1(8) + F2(7) + F3(9) + F4(8) + F5(7) + OPS(8)</t>
  </si>
  <si>
    <t>Phase 2 Should</t>
  </si>
  <si>
    <t>8건 (M4+)</t>
  </si>
  <si>
    <t>Phase 3 Could</t>
  </si>
  <si>
    <t>4건 (M7+)</t>
  </si>
  <si>
    <t>시트 구성</t>
  </si>
  <si>
    <t>1. 개요</t>
  </si>
  <si>
    <t>문서 메타정보 및 시트 안내</t>
  </si>
  <si>
    <t>2. 기능목록(Master)</t>
  </si>
  <si>
    <t>59건 전체 기능 ID·우선순위·단계</t>
  </si>
  <si>
    <t>3. F1 위치탐색</t>
  </si>
  <si>
    <t>F-0101 ~ F-0108 풀 상세 명세</t>
  </si>
  <si>
    <t>4. F2 점심특선피드</t>
  </si>
  <si>
    <t>F-0201 ~ F-0207 풀 상세 명세</t>
  </si>
  <si>
    <t>5. F3 쿠폰발급사용</t>
  </si>
  <si>
    <t>F-0301 ~ F-0309 풀 상세 명세</t>
  </si>
  <si>
    <t>6. F4 매장특선관리</t>
  </si>
  <si>
    <t>F-0401 ~ F-0408 풀 상세 명세</t>
  </si>
  <si>
    <t>7. F5 쿠폰발행통계</t>
  </si>
  <si>
    <t>F-0501 ~ F-0507 풀 상세 명세</t>
  </si>
  <si>
    <t>8. OPS 운영공통</t>
  </si>
  <si>
    <t>F-9001 ~ F-9008 풀 상세 명세</t>
  </si>
  <si>
    <t>9. Phase2_3 약식</t>
  </si>
  <si>
    <t>Should/Could 약식 명세 12건</t>
  </si>
  <si>
    <t>10. 화면ID</t>
  </si>
  <si>
    <t>SCR-USR/OWN/ADM 화면 33종</t>
  </si>
  <si>
    <t>11. API목록</t>
  </si>
  <si>
    <t>API 엔드포인트 34종</t>
  </si>
  <si>
    <t>12. 변경이력</t>
  </si>
  <si>
    <t>버전별 변경 내역</t>
  </si>
  <si>
    <t>F-ID</t>
  </si>
  <si>
    <t>기능명</t>
  </si>
  <si>
    <t>요구사항 ID</t>
  </si>
  <si>
    <t>우선순위</t>
  </si>
  <si>
    <t>단계</t>
  </si>
  <si>
    <t>구분</t>
  </si>
  <si>
    <t>F-0101</t>
  </si>
  <si>
    <t>위치 기반 지도 뷰</t>
  </si>
  <si>
    <t>REQ-F1-001</t>
  </si>
  <si>
    <t>P0</t>
  </si>
  <si>
    <t>M2 알파</t>
  </si>
  <si>
    <t>F1 위치 기반 식당 탐색</t>
  </si>
  <si>
    <t>F-0102</t>
  </si>
  <si>
    <t>리스트 뷰 + 토글</t>
  </si>
  <si>
    <t>REQ-F1-002</t>
  </si>
  <si>
    <t>F-0103</t>
  </si>
  <si>
    <t>반경 필터 (500m/1km/2km)</t>
  </si>
  <si>
    <t>REQ-F1-003</t>
  </si>
  <si>
    <t>F-0104</t>
  </si>
  <si>
    <t>카테고리 필터</t>
  </si>
  <si>
    <t>REQ-F1-004</t>
  </si>
  <si>
    <t>F-0105</t>
  </si>
  <si>
    <t>1인 좌석 필터</t>
  </si>
  <si>
    <t>REQ-F1-005</t>
  </si>
  <si>
    <t>F-0106</t>
  </si>
  <si>
    <t>가격대 필터</t>
  </si>
  <si>
    <t>REQ-F1-006</t>
  </si>
  <si>
    <t>F-0107</t>
  </si>
  <si>
    <t>"바로 입장 가능" 필터/정렬</t>
  </si>
  <si>
    <t>REQ-F1-007</t>
  </si>
  <si>
    <t>M3 베타</t>
  </si>
  <si>
    <t>F-0108</t>
  </si>
  <si>
    <t>매장·메뉴 검색</t>
  </si>
  <si>
    <t>REQ-F1-008</t>
  </si>
  <si>
    <t>F-0201</t>
  </si>
  <si>
    <t>"오늘의 점심특선" 메인 피드</t>
  </si>
  <si>
    <t>REQ-F2-001</t>
  </si>
  <si>
    <t>F2 점심특선 한눈에 보기</t>
  </si>
  <si>
    <t>F-0202</t>
  </si>
  <si>
    <t>점심특선 카드 (4요소)</t>
  </si>
  <si>
    <t>REQ-F2-002</t>
  </si>
  <si>
    <t>F-0203</t>
  </si>
  <si>
    <t>실시간 영업 상태 표시</t>
  </si>
  <si>
    <t>REQ-F2-003</t>
  </si>
  <si>
    <t>F-0204</t>
  </si>
  <si>
    <t>예상 식사 소요 시간 메타</t>
  </si>
  <si>
    <t>REQ-F2-004</t>
  </si>
  <si>
    <t>F-0205</t>
  </si>
  <si>
    <t>메인 피드 정렬 옵션</t>
  </si>
  <si>
    <t>REQ-F2-005</t>
  </si>
  <si>
    <t>F-0206</t>
  </si>
  <si>
    <t>점심특선 상세 화면</t>
  </si>
  <si>
    <t>REQ-F2-006</t>
  </si>
  <si>
    <t>F-0207</t>
  </si>
  <si>
    <t>무한 스크롤 페이지네이션</t>
  </si>
  <si>
    <t>REQ-F2-007</t>
  </si>
  <si>
    <t>F-0301</t>
  </si>
  <si>
    <t>쿠폰 발급</t>
  </si>
  <si>
    <t>REQ-F3-001</t>
  </si>
  <si>
    <t>F3 제휴 쿠폰 발급/사용</t>
  </si>
  <si>
    <t>F-0302</t>
  </si>
  <si>
    <t>사용자 본인 인증 (KISA)</t>
  </si>
  <si>
    <t>REQ-F3-002</t>
  </si>
  <si>
    <t>F-0303</t>
  </si>
  <si>
    <t>QR/바코드 토큰 생성 (1분 만료)</t>
  </si>
  <si>
    <t>REQ-F3-003</t>
  </si>
  <si>
    <t>F-0304</t>
  </si>
  <si>
    <t>사장님 QR 스캔 처리</t>
  </si>
  <si>
    <t>REQ-F3-004</t>
  </si>
  <si>
    <t>F-0305</t>
  </si>
  <si>
    <t>위치 기반 사용 검증 (100m)</t>
  </si>
  <si>
    <t>REQ-F3-005</t>
  </si>
  <si>
    <t>F-0306</t>
  </si>
  <si>
    <t>1일 사용 횟수 제한</t>
  </si>
  <si>
    <t>REQ-F3-006</t>
  </si>
  <si>
    <t>F-0307</t>
  </si>
  <si>
    <t>쿠폰 만료 관리</t>
  </si>
  <si>
    <t>REQ-F3-007</t>
  </si>
  <si>
    <t>F-0308</t>
  </si>
  <si>
    <t>쿠폰 사용/만료/취소 알림</t>
  </si>
  <si>
    <t>REQ-F3-008</t>
  </si>
  <si>
    <t>F-0309</t>
  </si>
  <si>
    <t>"내 쿠폰함" 화면</t>
  </si>
  <si>
    <t>REQ-F3-009</t>
  </si>
  <si>
    <t>F-0401</t>
  </si>
  <si>
    <t>사업자 인증 (국세청 진위)</t>
  </si>
  <si>
    <t>REQ-F4-001</t>
  </si>
  <si>
    <t>F4 사장님 매장·특선 관리</t>
  </si>
  <si>
    <t>F-0402</t>
  </si>
  <si>
    <t>매장 등록 (3단계 위저드)</t>
  </si>
  <si>
    <t>REQ-F4-002</t>
  </si>
  <si>
    <t>F-0403</t>
  </si>
  <si>
    <t>매장 메타데이터 입력 (좌석·소요시간)</t>
  </si>
  <si>
    <t>REQ-F4-003</t>
  </si>
  <si>
    <t>F-0404</t>
  </si>
  <si>
    <t>일별 점심특선 등록</t>
  </si>
  <si>
    <t>REQ-F4-004</t>
  </si>
  <si>
    <t>F-0405</t>
  </si>
  <si>
    <t>요일별 점심특선 반복 등록</t>
  </si>
  <si>
    <t>REQ-F4-005</t>
  </si>
  <si>
    <t>F-0406</t>
  </si>
  <si>
    <t>즉시/예약 발행</t>
  </si>
  <si>
    <t>REQ-F4-006</t>
  </si>
  <si>
    <t>F-0407</t>
  </si>
  <si>
    <t>실시간 영업 상태 토글</t>
  </si>
  <si>
    <t>REQ-F4-007</t>
  </si>
  <si>
    <t>F-0408</t>
  </si>
  <si>
    <t>매장 정보·메뉴 수정 (이력 30일)</t>
  </si>
  <si>
    <t>REQ-F4-008</t>
  </si>
  <si>
    <t>F-0501</t>
  </si>
  <si>
    <t>쿠폰 발행 (정률·정액·수량·기간)</t>
  </si>
  <si>
    <t>REQ-F5-001</t>
  </si>
  <si>
    <t>F5 쿠폰 발행 + 통계</t>
  </si>
  <si>
    <t>F-0502</t>
  </si>
  <si>
    <t>쿠폰 타게팅 (신규/단골/전체)</t>
  </si>
  <si>
    <t>REQ-F5-002</t>
  </si>
  <si>
    <t>F-0503</t>
  </si>
  <si>
    <t>한정 수량 쿠폰 (잔여 카운터)</t>
  </si>
  <si>
    <t>REQ-F5-003</t>
  </si>
  <si>
    <t>F-0504</t>
  </si>
  <si>
    <t>핵심 4지표 대시보드</t>
  </si>
  <si>
    <t>REQ-F5-004</t>
  </si>
  <si>
    <t>F-0505</t>
  </si>
  <si>
    <t>일/주/월 통계 토글</t>
  </si>
  <si>
    <t>REQ-F5-005</t>
  </si>
  <si>
    <t>F-0506</t>
  </si>
  <si>
    <t>ROI 카드 (비용→유입→매출)</t>
  </si>
  <si>
    <t>REQ-F5-006</t>
  </si>
  <si>
    <t>F-0507</t>
  </si>
  <si>
    <t>쿠폰별 성과 분석 + 가이드</t>
  </si>
  <si>
    <t>REQ-F5-007</t>
  </si>
  <si>
    <t>F-9001</t>
  </si>
  <si>
    <t>사용자 회원가입 (소셜 + 본인 인증)</t>
  </si>
  <si>
    <t>REQ-OPS-001</t>
  </si>
  <si>
    <t>OPS 운영 공통</t>
  </si>
  <si>
    <t>F-9002</t>
  </si>
  <si>
    <t>사장님 회원가입 (사업자 인증 흐름)</t>
  </si>
  <si>
    <t>REQ-OPS-002</t>
  </si>
  <si>
    <t>F-9003</t>
  </si>
  <si>
    <t>3단계 권한 분리 (사용자/사장님/어드민)</t>
  </si>
  <si>
    <t>REQ-OPS-003</t>
  </si>
  <si>
    <t>F-9004</t>
  </si>
  <si>
    <t>신고·이의제기 처리 (어드민)</t>
  </si>
  <si>
    <t>REQ-OPS-004</t>
  </si>
  <si>
    <t>F-9005</t>
  </si>
  <si>
    <t>회원 탈퇴 (개인정보 파기·5년 보관)</t>
  </si>
  <si>
    <t>REQ-OPS-005</t>
  </si>
  <si>
    <t>F-9006</t>
  </si>
  <si>
    <t>인앱 알림 센터</t>
  </si>
  <si>
    <t>REQ-OPS-006</t>
  </si>
  <si>
    <t>F-9007</t>
  </si>
  <si>
    <t>큰 글씨 모드 토글</t>
  </si>
  <si>
    <t>REQ-OPS-007</t>
  </si>
  <si>
    <t>F-9008</t>
  </si>
  <si>
    <t>시각약자 접근성 (WCAG 2.1 AA)</t>
  </si>
  <si>
    <t>REQ-OPS-008</t>
  </si>
  <si>
    <t>F-0508</t>
  </si>
  <si>
    <t>통계 CSV/Excel 내보내기</t>
  </si>
  <si>
    <t>REQ-F5-008</t>
  </si>
  <si>
    <t>P1</t>
  </si>
  <si>
    <t>M4+</t>
  </si>
  <si>
    <t>F-7001</t>
  </si>
  <si>
    <t>사용자 리뷰·별점 작성</t>
  </si>
  <si>
    <t>REQ-P2-001</t>
  </si>
  <si>
    <t>F-7002</t>
  </si>
  <si>
    <t>즐겨찾기 매장 등록</t>
  </si>
  <si>
    <t>REQ-P2-002</t>
  </si>
  <si>
    <t>F-7003</t>
  </si>
  <si>
    <t>위치+시간 트리거 푸시 알림</t>
  </si>
  <si>
    <t>REQ-P2-003</t>
  </si>
  <si>
    <t>F-7004</t>
  </si>
  <si>
    <t>즐겨찾기 신규 특선 푸시</t>
  </si>
  <si>
    <t>REQ-P2-004</t>
  </si>
  <si>
    <t>F-7005</t>
  </si>
  <si>
    <t>B2B 임직원 식권 자동 발행</t>
  </si>
  <si>
    <t>REQ-P2-005</t>
  </si>
  <si>
    <t>F-7006</t>
  </si>
  <si>
    <t>B2B 정산 대시보드</t>
  </si>
  <si>
    <t>REQ-P2-006</t>
  </si>
  <si>
    <t>F-7007</t>
  </si>
  <si>
    <t>저녁·주말 특선 카테고리</t>
  </si>
  <si>
    <t>REQ-P2-007</t>
  </si>
  <si>
    <t>F-8001</t>
  </si>
  <si>
    <t>광고 상품 정식 운영</t>
  </si>
  <si>
    <t>REQ-P3-001</t>
  </si>
  <si>
    <t>P2</t>
  </si>
  <si>
    <t>M7+</t>
  </si>
  <si>
    <t>F-8002</t>
  </si>
  <si>
    <t>토스페이먼츠 선결제</t>
  </si>
  <si>
    <t>REQ-P3-002</t>
  </si>
  <si>
    <t>F-8003</t>
  </si>
  <si>
    <t>카카오·네이버페이</t>
  </si>
  <si>
    <t>REQ-P3-003</t>
  </si>
  <si>
    <t>F-8004</t>
  </si>
  <si>
    <t>친구 초대·공유</t>
  </si>
  <si>
    <t>REQ-P3-004</t>
  </si>
  <si>
    <t>총계</t>
  </si>
  <si>
    <t>P0 Must</t>
  </si>
  <si>
    <t>P1 Should</t>
  </si>
  <si>
    <t>P2 Could</t>
  </si>
  <si>
    <t>F1. 위치 기반 식당 탐색 (8건)</t>
  </si>
  <si>
    <t>설명</t>
  </si>
  <si>
    <t>입력</t>
  </si>
  <si>
    <t>처리</t>
  </si>
  <si>
    <t>출력</t>
  </si>
  <si>
    <t>예외 처리</t>
  </si>
  <si>
    <t>관련 화면</t>
  </si>
  <si>
    <t>관련 API</t>
  </si>
  <si>
    <t>사용자의 현재 GPS 위치를 중심으로 주변 식당을 지도 마커로 시각화한다.</t>
  </si>
  <si>
    <t>userLocation: {lat, lng} (GPS 권한 허용), radius: 500|1000|2000 (디폴트 500m), category[] (선택), mealTimeWindow (현재 시각 기준 11:00~14:00 여부)</t>
  </si>
  <si>
    <t>① GPS 좌표 획득 (HTML5 Geolocation API) → ② PostGIS ST_DWithin 쿼리로 반경 내 식당 조회 → ③ 카카오맵 SDK에 마커 클러스터링 (10개 이상 시 그룹화) → ④ 점심특선 발행 중인 매장은 오렌지 핀, 일반 매장은 회색 핀 표시</t>
  </si>
  <si>
    <t>지도 화면 + N개 매장 마커 + 사용자 현재 위치 핀 + 반경 원</t>
  </si>
  <si>
    <t>❶ GPS 권한 거부 → 수동 위치 검색 폴백 화면 / ❷ 위치 측정 실패 (3초 타임아웃) → "위치를 가져올 수 없습니다. 수동 검색을 이용해주세요." / ❸ 결과 0건 → 반경 확대 권유 토스트</t>
  </si>
  <si>
    <t>SCR-USR-001 (메인 지도)</t>
  </si>
  <si>
    <t>API-GET-restaurants?lat=&amp;lng=&amp;radius=&amp;category[]=</t>
  </si>
  <si>
    <t>지도 뷰와 동일한 데이터셋을 리스트 형태로 노출. 상단 우측 토글 버튼으로 즉시 전환.</t>
  </si>
  <si>
    <t>F-0101과 동일 + viewMode: 'map'|'list'</t>
  </si>
  <si>
    <t>① 동일 API 결과 캐싱 → ② viewMode 토글 시 클라이언트 사이드 렌더 전환 (재요청 없음) → ③ 리스트는 거리 오름차순 기본 정렬</t>
  </si>
  <si>
    <t>카드형 리스트 (사진/이름/거리/카테고리/점심특선 유무 뱃지)</t>
  </si>
  <si>
    <t>빈 결과 시 "주변에 등록된 매장이 없습니다" + 반경 확대 CTA</t>
  </si>
  <si>
    <t>SCR-USR-002 (메인 리스트)</t>
  </si>
  <si>
    <t>API-GET-restaurants (F-0101과 공유)</t>
  </si>
  <si>
    <t>반경 필터 (500m / 1km / 2km)</t>
  </si>
  <si>
    <t>사용자가 탐색 반경을 3단계로 조절.</t>
  </si>
  <si>
    <t>radius: 500|1000|2000</t>
  </si>
  <si>
    <t>반경 변경 시 ① API 재요청 → ② 지도 반경 원 갱신 → ③ 마커/리스트 1초 이내 갱신</t>
  </si>
  <si>
    <t>갱신된 매장 N개 + 반경 원</t>
  </si>
  <si>
    <t>결과 0건 → 자동으로 다음 반경 제안 (예: 500m → "1km로 확대하시겠어요?")</t>
  </si>
  <si>
    <t>SCR-USR-001, SCR-USR-002</t>
  </si>
  <si>
    <t>API-GET-restaurants</t>
  </si>
  <si>
    <t>한식·분식·카페·양식·중식·일식·건강식/샐러드/단백질 도시락 다중 선택.</t>
  </si>
  <si>
    <t>category[]: string[]</t>
  </si>
  <si>
    <t>① 다중 선택 토글 → ② URL 쿼리 동기화 (공유 가능) → ③ API 재요청</t>
  </si>
  <si>
    <t>선택 카테고리만 노출된 마커/리스트</t>
  </si>
  <si>
    <t>모든 카테고리 미선택 시 = 전체 노출</t>
  </si>
  <si>
    <t>SCR-USR-001/002 + 카테고리 모달 SCR-USR-003</t>
  </si>
  <si>
    <t>API-GET-restaurants?category[]=</t>
  </si>
  <si>
    <t>혼밥형 페르소나를 위한 "1인 좌석 가능 여부" 단일 필터.</t>
  </si>
  <si>
    <t>soloSeating: boolean</t>
  </si>
  <si>
    <t>식당 메타데이터 solo_seating = true 조건으로 즉시 필터</t>
  </si>
  <si>
    <t>1인 좌석 매장만 노출</t>
  </si>
  <si>
    <t>빈 결과 → "1인 좌석 매장이 적어요. 반경을 확대하시겠어요?" 친근 메시지</t>
  </si>
  <si>
    <t>SCR-USR-001/002 (필터 바)</t>
  </si>
  <si>
    <t>API-GET-restaurants?solo_seating=true</t>
  </si>
  <si>
    <t>점심특선 할인가 기준 4구간(~8천/8천~1만/1만~1.5만/1.5만+) 필터.</t>
  </si>
  <si>
    <t>priceRange: 'lt8k'|'8k-10k'|'10k-15k'|'gt15k'</t>
  </si>
  <si>
    <t>점심특선 발행 매장의 할인가 기준 필터링 (정상가 아님)</t>
  </si>
  <si>
    <t>선택 구간 내 매장만 노출</t>
  </si>
  <si>
    <t>가격대 0건 → "다른 가격대도 보시겠어요?" 인접 구간 추천</t>
  </si>
  <si>
    <t>SCR-USR-001/002</t>
  </si>
  <si>
    <t>API-GET-restaurants?priceRange=</t>
  </si>
  <si>
    <t>"현재 바로 입장 가능" 필터/정렬</t>
  </si>
  <si>
    <t>편의점 대비 차별화 — 대기 없이 즉시 입장 가능한 매장만 노출/우선 정렬.</t>
  </si>
  <si>
    <t>availableNow: boolean</t>
  </si>
  <si>
    <t>① 사장님 자가 신고 토글(status=available) 또는 ② 운영시간 기반 자동 판정 결합</t>
  </si>
  <si>
    <t>"즉시 입장 가능" 뱃지가 붙은 매장</t>
  </si>
  <si>
    <t>사장님 미신고 매장은 운영시간 기준만 사용</t>
  </si>
  <si>
    <t>API-GET-restaurants?available_now=true</t>
  </si>
  <si>
    <t>식당명 또는 메뉴명 부분 일치 검색. 한글 자모 분리 매칭 지원.</t>
  </si>
  <si>
    <t>q: string (1자 이상)</t>
  </si>
  <si>
    <t>① 입력 300ms 디바운스 → ② PostgreSQL tsvector + 한글 자모 분리(hangul-js 등) → ③ 결과 20건</t>
  </si>
  <si>
    <t>매칭된 매장/메뉴 리스트</t>
  </si>
  <si>
    <t>검색 결과 0건 → "관련 매장이 없어요. 다른 키워드를 시도해보세요."</t>
  </si>
  <si>
    <t>SCR-USR-004 (검색)</t>
  </si>
  <si>
    <t>API-GET-search?q=</t>
  </si>
  <si>
    <t>F2. 점심특선 한눈에 보기 (7건)</t>
  </si>
  <si>
    <t>사용자 위치 기반 점심특선 카드를 메인 화면에 노출. 11:00~14:00 매장 우선.</t>
  </si>
  <si>
    <t>userLocation, 현재 시각, sortBy (디폴트: 거리순), 페이지</t>
  </si>
  <si>
    <t>① 현재 시각이 11~14시면 운영 매장 우선 정렬 → ② 그 외 시간엔 "오늘 점심특선 등록 매장" 정렬 → ③ 시간 외 매장은 별도 그룹</t>
  </si>
  <si>
    <t>점심특선 카드 리스트 (20건/페이지)</t>
  </si>
  <si>
    <t>결과 0건 → "주변에 점심특선이 없어요. 반경 확대 또는 카테고리 변경"</t>
  </si>
  <si>
    <t>SCR-USR-005 (메인 피드)</t>
  </si>
  <si>
    <t>API-GET-lunch-specials?lat=&amp;lng=&amp;radius=&amp;page=</t>
  </si>
  <si>
    <t>카드 1개 = 1결정 원칙. 대표 사진/메뉴명/정상가·할인가/할인율% 4요소 노출.</t>
  </si>
  <si>
    <t>카드 데이터 (서버 응답)</t>
  </si>
  <si>
    <t>① 할인율 자동 계산 (정상가 - 할인가) / 정상가 * 100 반올림 → ② 사진은 4:3 비율 lazy load</t>
  </si>
  <si>
    <t>카드 UI (대표 사진 60% / 정보 40%)</t>
  </si>
  <si>
    <t>사진 누락 시 카테고리 기본 일러스트</t>
  </si>
  <si>
    <t>SCR-USR-005</t>
  </si>
  <si>
    <t>API-GET-lunch-specials (포함)</t>
  </si>
  <si>
    <t>"영업중 / 곧 마감 / 휴무" 3단계 뱃지를 카드 좌상단에 노출.</t>
  </si>
  <si>
    <t>매장 운영시간 메타 + 사장님 임시 토글</t>
  </si>
  <si>
    <t>① 운영시간 기준 자동 판정 → ② 사장님이 "잠시 중단" 토글 시 즉시 반영 (1분 이내)</t>
  </si>
  <si>
    <t>색상 뱃지 (녹색/주황/회색)</t>
  </si>
  <si>
    <t>데이터 불일치 시 운영시간 메타를 우선 신뢰</t>
  </si>
  <si>
    <t>15~25분 / 25~40분 / 40분+ 3단계 아이콘으로 카드 우측 하단 표시.</t>
  </si>
  <si>
    <t>매장 메타 meal_duration</t>
  </si>
  <si>
    <t>매장 등록 시 필수 입력값을 카드에 그대로 표시</t>
  </si>
  <si>
    <t>시계 아이콘 + "15~25분" 텍스트</t>
  </si>
  <si>
    <t>미입력 매장은 표시 생략 (등록 단계에서 차단)</t>
  </si>
  <si>
    <t>거리순 / 할인율순 / 인기순 / "바로 입장 가능"순 4종 정렬.</t>
  </si>
  <si>
    <t>sortBy: 'distance'|'discount'|'popularity'|'available'</t>
  </si>
  <si>
    <t>클라이언트 사이드 재정렬 (캐시된 결과 활용) → 1초 이내</t>
  </si>
  <si>
    <t>재정렬된 카드 리스트</t>
  </si>
  <si>
    <t>인기순 데이터 없음 시 거리순 폴백</t>
  </si>
  <si>
    <t>SCR-USR-005 (정렬 드롭다운)</t>
  </si>
  <si>
    <t>(클라이언트)</t>
  </si>
  <si>
    <t>메뉴 사진 갤러리 + 사장님 설명 + 잔여 시간 + 위치 지도 + "쿠폰 받기" 하단 고정 CTA.</t>
  </si>
  <si>
    <t>lunchSpecialId</t>
  </si>
  <si>
    <t>① 카드 탭 시 0.5초 이내 진입 → ② 잔여 수량/시간 실시간 카운터 → ③ 카카오맵 미니맵 임베드</t>
  </si>
  <si>
    <t>풀스크린 상세 화면</t>
  </si>
  <si>
    <t>매진 시 CTA 비활성 + "마감되었습니다" / 만료 시 자동 비노출</t>
  </si>
  <si>
    <t>SCR-USR-006 (상세)</t>
  </si>
  <si>
    <t>API-GET-lunch-specials/{id}</t>
  </si>
  <si>
    <t>한 번에 20건 로드, 스크롤 하단 도달 시 다음 페이지 자동 로드.</t>
  </si>
  <si>
    <t>page: number</t>
  </si>
  <si>
    <t>① IntersectionObserver로 스크롤 감지 → ② 로딩 스피너 → ③ 가상 리스트로 메모리 관리</t>
  </si>
  <si>
    <t>추가 20건 append</t>
  </si>
  <si>
    <t>마지막 페이지 시 "더 이상 결과가 없어요" / 네트워크 실패 시 재시도 버튼</t>
  </si>
  <si>
    <t>API-GET-lunch-specials?page=</t>
  </si>
  <si>
    <t>F3. 제휴 쿠폰 발급/사용 (9건)</t>
  </si>
  <si>
    <t>사용자가 점심특선 상세에서 "쿠폰 받기" 탭 시 즉시 발급.</t>
  </si>
  <si>
    <t>lunchSpecialId, userId (인증 토큰)</t>
  </si>
  <si>
    <t>① 본인 인증 여부 확인 → ② 1매장/1일 발급 제한 검증 → ③ 한정 수량 잔여 검증 → ④ DB INSERT + Redis 카운터 차감</t>
  </si>
  <si>
    <t>발급된 쿠폰 객체 + "내 쿠폰함" 자동 이동 안내</t>
  </si>
  <si>
    <t>❶ 미인증 → 본인 인증 흐름으로 이동 / ❷ 일일 제한 초과 → "내일 다시 시도해주세요" / ❸ 한정 수량 소진 → "마감되었습니다"</t>
  </si>
  <si>
    <t>SCR-USR-006, SCR-USR-007 (쿠폰함)</t>
  </si>
  <si>
    <t>API-POST-coupons/issue</t>
  </si>
  <si>
    <t>KISA 인증 사업자(NICE, KCB 등) SMS 본인 인증. 최초 가입 시 1회.</t>
  </si>
  <si>
    <t>휴대폰 번호, 인증번호</t>
  </si>
  <si>
    <t>① 인증 SDK 호출 → ② 결과 토큰 서버 검증 → ③ user.verified = true + 인증 시각 기록</t>
  </si>
  <si>
    <t>본인 인증 완료 → 원래 흐름 복귀</t>
  </si>
  <si>
    <t>❶ 인증 시간 초과 (5분) → 재요청 / ❷ 미성년자 → 정책상 차단 (선택) / ❸ 동일 휴대폰 다중 계정 → 정지 처리</t>
  </si>
  <si>
    <t>SCR-USR-008 (본인 인증)</t>
  </si>
  <si>
    <t>API-POST-auth/verify-identity</t>
  </si>
  <si>
    <t>매장 제시용 단기 만료 QR 코드. 스크린샷 도용 방지.</t>
  </si>
  <si>
    <t>couponId (인증 사용자만)</t>
  </si>
  <si>
    <t>① JWT 페이로드: {couponId, userId, exp: now+60s} HS256 서명 → ② QR 이미지 생성 → ③ 화면 밝기 자동 최대화</t>
  </si>
  <si>
    <t>QR 화면 + 잔여 시간 카운터</t>
  </si>
  <si>
    <t>❶ 만료 → 자동 재발급 (사용자 액션 불필요) / ❷ 토큰 검증 실패 → "다시 시도해주세요"</t>
  </si>
  <si>
    <t>SCR-USR-009 (QR 제시)</t>
  </si>
  <si>
    <t>API-POST-coupons/{id}/token</t>
  </si>
  <si>
    <t>사장님 앱 카메라로 QR 스캔 → 사용 처리.</t>
  </si>
  <si>
    <t>QR에서 추출한 JWT 토큰, 사장님 매장 ID</t>
  </si>
  <si>
    <t>① 토큰 서명 검증 → ② 만료/사용 여부 확인 → ③ 위치 검증 (F-0305) → ④ coupon.used_at 기록 → ⑤ 사장님/사용자 양쪽 알림 (F-0308)</t>
  </si>
  <si>
    <t>"사용 완료" 화면 + 할인 금액 표시</t>
  </si>
  <si>
    <t>❶ 만료 토큰 → "쿠폰이 만료되었습니다" / ❷ 이미 사용 → "이미 사용된 쿠폰입니다" / ❸ 위치 불일치 → "매장 100m 이내에서 사용해주세요"</t>
  </si>
  <si>
    <t>SCR-OWN-001 (QR 스캐너)</t>
  </si>
  <si>
    <t>API-POST-coupons/redeem</t>
  </si>
  <si>
    <t>쿠폰 발급 매장 좌표 ↔ 사용자 GPS 좌표 100m 이내인지 검증.</t>
  </si>
  <si>
    <t>userLocation, storeLocation</t>
  </si>
  <si>
    <t>PostGIS ST_Distance 또는 Haversine 계산 → 100m 초과 시 차단</t>
  </si>
  <si>
    <t>(성공) F-0304 처리 / (실패) 차단 메시지</t>
  </si>
  <si>
    <t>GPS 권한 없음 → "위치 확인을 위해 권한이 필요합니다"</t>
  </si>
  <si>
    <t>SCR-OWN-001</t>
  </si>
  <si>
    <t>API-POST-coupons/redeem (내장 로직)</t>
  </si>
  <si>
    <t>사용자당 일 5건, 매장당 사용자 1건 제한. 양도·도용 방지.</t>
  </si>
  <si>
    <t>userId, storeId, 날짜</t>
  </si>
  <si>
    <t>Redis 카운터로 일 단위 사용 횟수 집계 → 초과 시 차단</t>
  </si>
  <si>
    <t>사용 가능 / 차단</t>
  </si>
  <si>
    <t>차단 시 "오늘 사용 한도(5건)에 도달했습니다 / 본 매장에서 이미 사용했습니다"</t>
  </si>
  <si>
    <t>SCR-USR-009 / SCR-OWN-001</t>
  </si>
  <si>
    <t>(내장 로직)</t>
  </si>
  <si>
    <t>당일 만료 / 7일 만료 / 사장님 지정 만료 3종. 만료 1시간 전 푸시.</t>
  </si>
  <si>
    <t>쿠폰 발행 시 expiresAt</t>
  </si>
  <si>
    <t>① 크론잡(5분 주기)으로 만료 임박 쿠폰 식별 → ② FCM 푸시 (옵트인 사용자) → ③ 만료 시 자동 status=expired</t>
  </si>
  <si>
    <t>푸시 알림 + 쿠폰함 자동 비활성</t>
  </si>
  <si>
    <t>옵트아웃 사용자는 푸시 생략 (인앱 알림은 유지)</t>
  </si>
  <si>
    <t>SCR-USR-007</t>
  </si>
  <si>
    <t>API-GET-coupons/me</t>
  </si>
  <si>
    <t>사용/만료/취소 이벤트 시 사용자·사장님 양쪽에 인앱 + 푸시 알림.</t>
  </si>
  <si>
    <t>이벤트 트리거 (F-0304/F-0307)</t>
  </si>
  <si>
    <t>① 알림 큐(BullMQ 등) 에 enqueue → ② FCM/APNs 전송 → ③ 인앱 알림 DB INSERT</t>
  </si>
  <si>
    <t>알림 수신</t>
  </si>
  <si>
    <t>푸시 토큰 무효 → DB에서 토큰 삭제</t>
  </si>
  <si>
    <t>SCR-USR-010 (알림 센터)</t>
  </si>
  <si>
    <t>API-GET-notifications</t>
  </si>
  <si>
    <t>사용 가능 / 사용 완료 / 만료 3탭 구조.</t>
  </si>
  <si>
    <t>userId, 탭</t>
  </si>
  <si>
    <t>DB 조회 + 만료 임박순 정렬</t>
  </si>
  <si>
    <t>탭별 쿠폰 리스트</t>
  </si>
  <si>
    <t>빈 탭 → "아직 발급받은 쿠폰이 없어요" + 메인 피드 CTA</t>
  </si>
  <si>
    <t>API-GET-coupons/me?status=</t>
  </si>
  <si>
    <t>F4. 사장님 매장·특선 관리 (8건)</t>
  </si>
  <si>
    <t>휴대폰 본인 인증 + 사업자 등록번호 입력 + 국세청 API 진위 확인.</t>
  </si>
  <si>
    <t>휴대폰, 사업자 등록번호, 대표자명</t>
  </si>
  <si>
    <t>① KISA 본인 인증 (F-0302 재사용) → ② 국세청 진위 확인 API 호출 → ③ owner.verified = true</t>
  </si>
  <si>
    <t>인증 완료 (평균 5분 이내)</t>
  </si>
  <si>
    <t>❶ 진위 확인 실패 → "사업자 정보를 다시 확인해주세요" / ❷ 폐업 사업자 → "활성 사업자만 등록 가능합니다"</t>
  </si>
  <si>
    <t>SCR-OWN-002 (사업자 인증)</t>
  </si>
  <si>
    <t>API-POST-owners/verify-business</t>
  </si>
  <si>
    <t>(1) 기본정보 → (2) 운영시간·메뉴 → (3) 사진·확인. 평균 5분 완료.</t>
  </si>
  <si>
    <t>단계별 폼</t>
  </si>
  <si>
    <t>① 단계별 임시 저장 (drafts 테이블) → ② 3단계 완료 후 publish → ③ 운영자 검수 대기 (선택)</t>
  </si>
  <si>
    <t>매장 ID + 노출 시작</t>
  </si>
  <si>
    <t>중도 이탈 시 24시간 내 재진입 시 이어쓰기</t>
  </si>
  <si>
    <t>SCR-OWN-003 (등록 위저드 1/2/3)</t>
  </si>
  <si>
    <t>API-POST-stores (draft + publish)</t>
  </si>
  <si>
    <t>매장 메타데이터 입력</t>
  </si>
  <si>
    <t>solo_seating, seats, meal_duration 등 페르소나 차별화 메타.</t>
  </si>
  <si>
    <t>Boolean / Integer / Enum</t>
  </si>
  <si>
    <t>매장 등록 2단계에서 필수 입력 강제</t>
  </si>
  <si>
    <t>식당 메타 저장</t>
  </si>
  <si>
    <t>미입력 시 다음 단계 진행 불가</t>
  </si>
  <si>
    <t>SCR-OWN-003 (2단계)</t>
  </si>
  <si>
    <t>API-PATCH-stores/{id}/meta</t>
  </si>
  <si>
    <t>메뉴명, 정상가, 할인가(또는 할인율), 한정 표시, 사진. 30초 내 완료.</t>
  </si>
  <si>
    <t>폼</t>
  </si>
  <si>
    <t>① 할인율 자동 계산 → ② 사진 압축·업로드 (Supabase Storage) → ③ 즉시 사용자 피드 노출</t>
  </si>
  <si>
    <t>점심특선 ID</t>
  </si>
  <si>
    <t>사진 5MB 초과 시 자동 리사이즈 / 할인가 &gt; 정상가 시 입력 차단</t>
  </si>
  <si>
    <t>SCR-OWN-004 (특선 등록)</t>
  </si>
  <si>
    <t>API-POST-stores/{id}/lunch-specials</t>
  </si>
  <si>
    <t>매주 월·수 11~14시 등 반복 패턴 설정.</t>
  </si>
  <si>
    <t>요일[], 시간대, 메뉴 정보</t>
  </si>
  <si>
    <t>크론 스케줄러로 매일 새벽에 당일 노출 매장 활성화</t>
  </si>
  <si>
    <t>반복 스케줄 ID</t>
  </si>
  <si>
    <t>휴무일·임시 휴업 토글 시 해당 일자 자동 제외</t>
  </si>
  <si>
    <t>SCR-OWN-004 (반복 옵션)</t>
  </si>
  <si>
    <t>API-POST-stores/{id}/recurring-specials</t>
  </si>
  <si>
    <t>"지금 발행" 또는 "예약 발행 (분 단위)". 발행 후 사용 전 한정으로 취소 가능.</t>
  </si>
  <si>
    <t>publishAt: ISO datetime|now, cancel: boolean</t>
  </si>
  <si>
    <t>예약 시 큐에 enqueue, 발행 시각 도달 시 활성 처리</t>
  </si>
  <si>
    <t>발행 예정/완료 상태</t>
  </si>
  <si>
    <t>이미 사용 시작된 특선은 취소 불가</t>
  </si>
  <si>
    <t>SCR-OWN-004</t>
  </si>
  <si>
    <t>API-PATCH-lunch-specials/{id}/status</t>
  </si>
  <si>
    <t>"영업중 / 잠시 중단 / 마감" 3종 토글. "잠시 중단"은 30분 후 자동 복귀.</t>
  </si>
  <si>
    <t>status: 'open'|'paused'|'closed'</t>
  </si>
  <si>
    <t>① 즉시 사용자 피드 반영 → ② "paused"는 30분 타이머 후 "open" 자동 전환</t>
  </si>
  <si>
    <t>매장 상태</t>
  </si>
  <si>
    <t>운영시간 외에 "open" 설정 시 경고 메시지 (강제 차단 X)</t>
  </si>
  <si>
    <t>SCR-OWN-005 (홈 대시보드)</t>
  </si>
  <si>
    <t>API-PATCH-stores/{id}/status</t>
  </si>
  <si>
    <t>사진·가격·운영시간 등 수정. 수정 이력 30일 보관 (분쟁 대비).</t>
  </si>
  <si>
    <t>수정 폼</t>
  </si>
  <si>
    <t>① 변경 전후 diff 기록 → ② audit log 테이블 INSERT</t>
  </si>
  <si>
    <t>수정 완료</t>
  </si>
  <si>
    <t>동시 수정 충돌 시 마지막 저장 우선 + 안내 메시지</t>
  </si>
  <si>
    <t>SCR-OWN-006 (매장 관리)</t>
  </si>
  <si>
    <t>API-PATCH-stores/{id} + API-GET-stores/{id}/audit</t>
  </si>
  <si>
    <t>F5. 쿠폰 발행 + 통계 (7건)</t>
  </si>
  <si>
    <t>쿠폰 발행</t>
  </si>
  <si>
    <t>정률(%) 또는 정액(원), 적용 메뉴, 수량, 유효기간 설정.</t>
  </si>
  <si>
    <t>discountType: 'percent'|'amount', value, appliedMenus[], quantity, expiresAt</t>
  </si>
  <si>
    <t>① 권장 할인율 30~40% 가이드 표시 (라스트오더 벤치마크) → ② DB INSERT + 사용자 피드 즉시 노출</t>
  </si>
  <si>
    <t>쿠폰 ID + 발행 완료</t>
  </si>
  <si>
    <t>100% 할인 등 비정상 입력 시 경고</t>
  </si>
  <si>
    <t>SCR-OWN-007 (쿠폰 발행)</t>
  </si>
  <si>
    <t>API-POST-stores/{id}/coupons</t>
  </si>
  <si>
    <t>신규(본 매장 첫 방문) / 단골(직전 30일 N회 이상) / 전체 중 선택.</t>
  </si>
  <si>
    <t>targetType: 'new'|'loyal'|'all', loyalThreshold (단골 임계값)</t>
  </si>
  <si>
    <t>① 사용자 쿠폰 발급 시점에 매장 방문 이력 조회 → ② 조건 부합 사용자에게만 노출</t>
  </si>
  <si>
    <t>타깃 사용자만 카드 노출</t>
  </si>
  <si>
    <t>임계값 0 입력 시 디폴트(3회) 적용</t>
  </si>
  <si>
    <t>SCR-OWN-007</t>
  </si>
  <si>
    <t>API-POST-stores/{id}/coupons (포함)</t>
  </si>
  <si>
    <t>한정 수량 쿠폰</t>
  </si>
  <si>
    <t>발행 수량(예: 50장) 설정 + 잔여 카운터 실시간 노출.</t>
  </si>
  <si>
    <t>quantity: number</t>
  </si>
  <si>
    <t>Redis 카운터로 발급마다 차감, 0 도달 시 자동 비노출. 잔여 5장 이하 시 "마감 임박" 강조</t>
  </si>
  <si>
    <t>잔여 수량 표시</t>
  </si>
  <si>
    <t>동시 발급 race condition → Redis DECR atomic 보장</t>
  </si>
  <si>
    <t>SCR-OWN-007, SCR-USR-006</t>
  </si>
  <si>
    <t>API-POST-coupons/issue (내장)</t>
  </si>
  <si>
    <t>신규 고객 / 30일 재방문율 / 쿠폰 사용률 / 평균 객단가 4카드 1화면.</t>
  </si>
  <si>
    <t>storeId, period (일/주/월)</t>
  </si>
  <si>
    <t>배치(시간 단위) 집계 + 실시간 조회 결합</t>
  </si>
  <si>
    <t>4지표 + 추세 표시 (전 기간 대비 ▲/▼ %)</t>
  </si>
  <si>
    <t>데이터 부족 (가입 7일 미만) → "데이터 누적 중" 안내</t>
  </si>
  <si>
    <t>SCR-OWN-008 (대시보드 홈)</t>
  </si>
  <si>
    <t>API-GET-stores/{id}/metrics?period=</t>
  </si>
  <si>
    <t>디폴트 주. 토글 1초 이내 전환.</t>
  </si>
  <si>
    <t>period</t>
  </si>
  <si>
    <t>클라이언트 사이드 캐싱 + period별 API 호출</t>
  </si>
  <si>
    <t>갱신된 4지표</t>
  </si>
  <si>
    <t>일별은 최근 30일, 주별은 12주, 월별은 12개월로 제한</t>
  </si>
  <si>
    <t>SCR-OWN-008</t>
  </si>
  <si>
    <t>API-GET-stores/{id}/metrics</t>
  </si>
  <si>
    <t>ROI 카드</t>
  </si>
  <si>
    <t>"이번 주 발행 비용 N원 → 신규 N명 → 추정 매출 N원" — 사장님 락인 핵심.</t>
  </si>
  <si>
    <t>쿠폰 발행 비용, 사용 매출 데이터</t>
  </si>
  <si>
    <t>① 발행 비용 = 쿠폰 수수료 합계 → ② 신규 유입 = 신규 사용자 수 → ③ 추정 매출 = 사용 횟수 × 평균 객단가</t>
  </si>
  <si>
    <t>ROI 카드 + "쿠폰 1장 = 단골 N명" 환산</t>
  </si>
  <si>
    <t>첫 주는 "다음 주부터 ROI를 확인하세요"</t>
  </si>
  <si>
    <t>API-GET-stores/{id}/roi?period=week</t>
  </si>
  <si>
    <t>쿠폰별 발행/사용/사용률/시간대별 사용 분포. 저성과 쿠폰엔 가이드 메시지.</t>
  </si>
  <si>
    <t>storeId, couponId (선택)</t>
  </si>
  <si>
    <t>① 쿠폰별 집계 → ② 사용률 &lt; 20% 쿠폰엔 "할인율 +10% 조정 권장" 등 자동 가이드</t>
  </si>
  <si>
    <t>표 + 시간대별 히트맵 + 가이드 메시지</t>
  </si>
  <si>
    <t>쿠폰 0건 시 "첫 쿠폰을 발행해보세요" CTA</t>
  </si>
  <si>
    <t>SCR-OWN-009 (쿠폰 분석)</t>
  </si>
  <si>
    <t>API-GET-stores/{id}/coupons/analytics</t>
  </si>
  <si>
    <t>OPS. 운영 공통 (8건)</t>
  </si>
  <si>
    <t>사용자 회원가입</t>
  </si>
  <si>
    <t>휴대폰 본인 인증 또는 카카오·네이버 소셜 로그인. 소셜 시 본인 인증 별도 1회.</t>
  </si>
  <si>
    <t>가입 폼 또는 OAuth 콜백</t>
  </si>
  <si>
    <t>① 소셜 토큰 검증 → ② 사용자 생성 → ③ 본인 인증 (F-0302) → ④ 가입 완료</t>
  </si>
  <si>
    <t>JWT 액세스/리프레시 토큰</t>
  </si>
  <si>
    <t>중복 가입 시 "이미 가입된 휴대폰입니다"</t>
  </si>
  <si>
    <t>SCR-USR-011 (가입)</t>
  </si>
  <si>
    <t>API-POST-auth/signup, API-POST-auth/oauth/callback</t>
  </si>
  <si>
    <t>사장님 회원가입</t>
  </si>
  <si>
    <t>F-9001 + 사업자 인증 (F-0401) 결합 흐름.</t>
  </si>
  <si>
    <t>F-9001 → F-0401 순차 진행</t>
  </si>
  <si>
    <t>사장님 계정 + 매장 등록 진입</t>
  </si>
  <si>
    <t>사업자 미인증 시 매장 등록 불가</t>
  </si>
  <si>
    <t>SCR-OWN-002</t>
  </si>
  <si>
    <t>API-POST-auth/signup-owner</t>
  </si>
  <si>
    <t>3단계 권한 분리</t>
  </si>
  <si>
    <t>사용자/사장님/어드민 3종. 어드민은 계정 정지·복구 가능.</t>
  </si>
  <si>
    <t>JWT role 클레임</t>
  </si>
  <si>
    <t>미들웨어로 권한 검증, 403 또는 통과</t>
  </si>
  <si>
    <t>권한별 라우팅</t>
  </si>
  <si>
    <t>권한 미달 시 403 + 안내 페이지</t>
  </si>
  <si>
    <t>SCR-ADM-001</t>
  </si>
  <si>
    <t>모든 API에 권한 검증 미들웨어 적용</t>
  </si>
  <si>
    <t>쿠폰 사용 거부·부정 사용 등 신고 접수 → 24시간 내 1차 응답.</t>
  </si>
  <si>
    <t>신고 폼 (사용자/사장님)</t>
  </si>
  <si>
    <t>① 신고 INSERT → ② 어드민 대시보드 알림 → ③ 24h SLA 모니터링</t>
  </si>
  <si>
    <t>신고 ID + 처리 상태</t>
  </si>
  <si>
    <t>동일 사용자 24h 내 중복 신고 시 통합</t>
  </si>
  <si>
    <t>SCR-USR-012 (신고), SCR-ADM-002 (처리)</t>
  </si>
  <si>
    <t>API-POST-reports, API-PATCH-reports/{id}</t>
  </si>
  <si>
    <t>회원 탈퇴</t>
  </si>
  <si>
    <t>개인정보 즉시 파기, 거래 기록(쿠폰 사용 등) 5년 보관.</t>
  </si>
  <si>
    <t>탈퇴 사유 (선택)</t>
  </si>
  <si>
    <t>① 30일 유예 (복구 가능) → ② 30일 후 개인정보 컬럼 NULL/HASH 처리 → ③ 5년 후 거래 기록 익명화</t>
  </si>
  <si>
    <t>탈퇴 완료</t>
  </si>
  <si>
    <t>미사용 쿠폰 존재 시 사전 안내</t>
  </si>
  <si>
    <t>SCR-USR-013 (탈퇴)</t>
  </si>
  <si>
    <t>API-DELETE-users/me</t>
  </si>
  <si>
    <t>시스템 공지·이벤트·쿠폰 사용·만료 통합 알림 센터. 읽음/안 읽음 구분.</t>
  </si>
  <si>
    <t>userId</t>
  </si>
  <si>
    <t>① DB 조회 + 페이지네이션 → ② 읽음 처리 PATCH → ③ 30일 후 자동 정리 (크론)</t>
  </si>
  <si>
    <t>알림 리스트</t>
  </si>
  <si>
    <t>빈 알림함 → "새 알림이 없어요"</t>
  </si>
  <si>
    <t>SCR-USR-010</t>
  </si>
  <si>
    <t>API-GET-notifications, API-PATCH-notifications/{id}/read</t>
  </si>
  <si>
    <t>폰트 1.25x / 1.5x 확대. 50대 사장님·주부 페르소나 대응.</t>
  </si>
  <si>
    <t>fontScale: 1.0|1.25|1.5</t>
  </si>
  <si>
    <t>CSS root 변수 동적 변경 + LocalStorage 영속</t>
  </si>
  <si>
    <t>전체 화면 폰트 확대</t>
  </si>
  <si>
    <t>레이아웃 깨짐 방지 위해 컨테이너 max-width 별도</t>
  </si>
  <si>
    <t>SCR-USR-014 (설정), SCR-OWN-010</t>
  </si>
  <si>
    <t>(클라이언트 전용)</t>
  </si>
  <si>
    <t>시각약자 접근성</t>
  </si>
  <si>
    <t>스크린리더 호환, alt 텍스트, 키보드 내비게이션, ARIA 라벨. WCAG 2.1 AA.</t>
  </si>
  <si>
    <t>모든 UI 컴포넌트</t>
  </si>
  <si>
    <t>① 의미 있는 HTML semantic 태그 사용 → ② 모든 이미지 alt → ③ 대비 4.5:1 이상 → ④ tab 순서 정의</t>
  </si>
  <si>
    <t>접근성 준수 UI</t>
  </si>
  <si>
    <t>Lighthouse Accessibility 90+ 자동 검증 (CI)</t>
  </si>
  <si>
    <t>전체</t>
  </si>
  <si>
    <t>—</t>
  </si>
  <si>
    <t>Phase 2 Should (M4+) / Phase 3 Could (M7+) 약식 명세</t>
  </si>
  <si>
    <t>※ Phase 2/3은 약식 명세. 상세 사양은 해당 M 진입 시점에 v2.0으로 확장.</t>
  </si>
  <si>
    <t>Phase</t>
  </si>
  <si>
    <t>Phase 2</t>
  </si>
  <si>
    <t>월 단위 일괄 내보내기. 매장 회계용.</t>
  </si>
  <si>
    <t>API-GET-stores/{id}/metrics/export?format=csv|xlsx&amp;month=</t>
  </si>
  <si>
    <t>SCR-OWN-008 (내보내기 버튼)</t>
  </si>
  <si>
    <t>쿠폰 사용 후 24시간 내 작성. 사장님 답글 1회. 매장 1,000+ 이후 활성화.</t>
  </si>
  <si>
    <t>API-POST-stores/{id}/reviews, API-POST-reviews/{id}/reply</t>
  </si>
  <si>
    <t>SCR-USR-015 (리뷰 작성/조회)</t>
  </si>
  <si>
    <t>즐겨찾기 매장</t>
  </si>
  <si>
    <t>사용자가 매장 즐겨찾기 등록. 신규 특선 발행 시 알림.</t>
  </si>
  <si>
    <t>API-POST-users/me/favorites, API-GET-users/me/favorites</t>
  </si>
  <si>
    <t>SCR-USR-016 (즐겨찾기)</t>
  </si>
  <si>
    <t>위치 + 시간 트리거 푸시 알림</t>
  </si>
  <si>
    <t>11~14시 사용자 위치 500m 내 새 점심특선 발행 시 알림. 옵트인 + 일 3건 제한.</t>
  </si>
  <si>
    <t>API-POST-notifications/trigger-by-location (서버 내부)</t>
  </si>
  <si>
    <t>SCR-USR-014 (알림 설정)</t>
  </si>
  <si>
    <t>즐겨찾기 매장 신규 특선·쿠폰 발행 시 알림. 옵트인 + 매장당 일 1건 제한.</t>
  </si>
  <si>
    <t>(내부)</t>
  </si>
  <si>
    <t>SCR-USR-014</t>
  </si>
  <si>
    <t>HR 대시보드에서 임직원 등록 + 식권 일괄 발행. 84.6% 선호 정량 근거.</t>
  </si>
  <si>
    <t>API-POST-b2b/{companyId}/employees/bulk, API-POST-b2b/{companyId}/meal-tickets/issue</t>
  </si>
  <si>
    <t>SCR-OWN-011 (B2B 대시보드) — 별도 앱/탭</t>
  </si>
  <si>
    <t>사용처별·임직원별 식대 정산. 월말 CSV/PDF 자동 생성.</t>
  </si>
  <si>
    <t>API-GET-b2b/{companyId}/settlements?month=</t>
  </si>
  <si>
    <t>SCR-OWN-012 (B2B 정산)</t>
  </si>
  <si>
    <t>점심 카테고리와 분리된 별도 탭. 시간대 자동 전환. DAU 한계 대응.</t>
  </si>
  <si>
    <t>API-GET-lunch-specials?timeSlot=dinner|weekend</t>
  </si>
  <si>
    <t>SCR-USR-005 (탭 추가)</t>
  </si>
  <si>
    <t>Phase 3</t>
  </si>
  <si>
    <t>메인 상단 고정·카테고리 1위 슬롯·키워드 광고. 사장님 셀프 서비스 구매. 노출/클릭/전환 리포트.</t>
  </si>
  <si>
    <t>API-POST-ads/campaigns, API-GET-ads/campaigns/{id}/report</t>
  </si>
  <si>
    <t>SCR-OWN-013 (광고)</t>
  </si>
  <si>
    <t>KRW zero-decimal, 결제 confirm API, 환불·취소 처리.</t>
  </si>
  <si>
    <t>API-POST-payments/intent, API-POST-payments/confirm, API-POST-payments/refund</t>
  </si>
  <si>
    <t>SCR-USR-017 (결제)</t>
  </si>
  <si>
    <t>토스페이먼츠 통합 모듈 활용.</t>
  </si>
  <si>
    <t>F-8002와 동일 (paymentMethod 분기)</t>
  </si>
  <si>
    <t>SCR-USR-017</t>
  </si>
  <si>
    <t>카드 공유 → 카카오톡/링크. 추천인 보상 캠페인 연계.</t>
  </si>
  <si>
    <t>API-POST-invitations, API-GET-invitations/me</t>
  </si>
  <si>
    <t>SCR-USR-018 (초대)</t>
  </si>
  <si>
    <t>화면 ID 총괄 (SCR-USR/OWN/ADM)</t>
  </si>
  <si>
    <t>10.1 사용자 앱 (SCR-USR-NNN)</t>
  </si>
  <si>
    <t>앱 구분</t>
  </si>
  <si>
    <t>화면명</t>
  </si>
  <si>
    <t>관련 기능</t>
  </si>
  <si>
    <t>USR</t>
  </si>
  <si>
    <t>SCR-USR-001</t>
  </si>
  <si>
    <t>메인 지도</t>
  </si>
  <si>
    <t>F-0101~107</t>
  </si>
  <si>
    <t>SCR-USR-002</t>
  </si>
  <si>
    <t>메인 리스트</t>
  </si>
  <si>
    <t>SCR-USR-003</t>
  </si>
  <si>
    <t>카테고리 필터 모달</t>
  </si>
  <si>
    <t>SCR-USR-004</t>
  </si>
  <si>
    <t>검색</t>
  </si>
  <si>
    <t>메인 피드 (점심특선)</t>
  </si>
  <si>
    <t>F-0201~205, 207</t>
  </si>
  <si>
    <t>SCR-USR-006</t>
  </si>
  <si>
    <t>점심특선 상세</t>
  </si>
  <si>
    <t>F-0206, F-0301</t>
  </si>
  <si>
    <t>내 쿠폰함</t>
  </si>
  <si>
    <t>F-0309, F-0307</t>
  </si>
  <si>
    <t>SCR-USR-008</t>
  </si>
  <si>
    <t>본인 인증</t>
  </si>
  <si>
    <t>SCR-USR-009</t>
  </si>
  <si>
    <t>쿠폰 QR 제시</t>
  </si>
  <si>
    <t>알림 센터</t>
  </si>
  <si>
    <t>F-9006, F-0308</t>
  </si>
  <si>
    <t>SCR-USR-011</t>
  </si>
  <si>
    <t>회원가입</t>
  </si>
  <si>
    <t>SCR-USR-012</t>
  </si>
  <si>
    <t>신고</t>
  </si>
  <si>
    <t>SCR-USR-013</t>
  </si>
  <si>
    <t>설정 (큰 글씨·알림)</t>
  </si>
  <si>
    <t>F-9007, F-7003, F-7004</t>
  </si>
  <si>
    <t>SCR-USR-015</t>
  </si>
  <si>
    <t>리뷰 작성/조회</t>
  </si>
  <si>
    <t>SCR-USR-016</t>
  </si>
  <si>
    <t>즐겨찾기</t>
  </si>
  <si>
    <t>결제 (Phase 3)</t>
  </si>
  <si>
    <t>F-8002/3</t>
  </si>
  <si>
    <t>SCR-USR-018</t>
  </si>
  <si>
    <t>친구 초대 (Phase 3)</t>
  </si>
  <si>
    <t>10.2 사장님 앱 (SCR-OWN-NNN)</t>
  </si>
  <si>
    <t>OWN</t>
  </si>
  <si>
    <t>QR 스캐너</t>
  </si>
  <si>
    <t>F-0304, F-0305</t>
  </si>
  <si>
    <t>사업자 인증</t>
  </si>
  <si>
    <t>F-0401, F-9002</t>
  </si>
  <si>
    <t>SCR-OWN-003</t>
  </si>
  <si>
    <t>매장 등록 위저드 (3단계)</t>
  </si>
  <si>
    <t>F-0402, F-0403</t>
  </si>
  <si>
    <t>점심특선 등록</t>
  </si>
  <si>
    <t>F-0404~406</t>
  </si>
  <si>
    <t>SCR-OWN-005</t>
  </si>
  <si>
    <t>홈 대시보드 (상태 토글)</t>
  </si>
  <si>
    <t>SCR-OWN-006</t>
  </si>
  <si>
    <t>매장 관리 (수정·이력)</t>
  </si>
  <si>
    <t>F-0501~503</t>
  </si>
  <si>
    <t>통계 대시보드 (4지표·ROI)</t>
  </si>
  <si>
    <t>F-0504~506</t>
  </si>
  <si>
    <t>SCR-OWN-009</t>
  </si>
  <si>
    <t>쿠폰별 분석</t>
  </si>
  <si>
    <t>SCR-OWN-010</t>
  </si>
  <si>
    <t>설정 (큰 글씨)</t>
  </si>
  <si>
    <t>SCR-OWN-011</t>
  </si>
  <si>
    <t>B2B 대시보드 (Phase 2)</t>
  </si>
  <si>
    <t>SCR-OWN-012</t>
  </si>
  <si>
    <t>B2B 정산 (Phase 2)</t>
  </si>
  <si>
    <t>SCR-OWN-013</t>
  </si>
  <si>
    <t>광고 (Phase 3)</t>
  </si>
  <si>
    <t>10.3 어드민 (SCR-ADM-NNN)</t>
  </si>
  <si>
    <t>ADM</t>
  </si>
  <si>
    <t>어드민 홈</t>
  </si>
  <si>
    <t>SCR-ADM-002</t>
  </si>
  <si>
    <t>신고 처리</t>
  </si>
  <si>
    <t>API 엔드포인트 총괄 (34종)</t>
  </si>
  <si>
    <t>※ 상세 스펙은 API스펙.md (#7) 참조</t>
  </si>
  <si>
    <t>METHOD</t>
  </si>
  <si>
    <t>PATH</t>
  </si>
  <si>
    <t>GET</t>
  </si>
  <si>
    <t>/api/restaurants</t>
  </si>
  <si>
    <t>F-0101~108</t>
  </si>
  <si>
    <t>MVP</t>
  </si>
  <si>
    <t>API-GET-search</t>
  </si>
  <si>
    <t>/api/search</t>
  </si>
  <si>
    <t>API-GET-lunch-specials</t>
  </si>
  <si>
    <t>/api/lunch-specials</t>
  </si>
  <si>
    <t>F-0201~207</t>
  </si>
  <si>
    <t>API-GET-lunch-specials-detail</t>
  </si>
  <si>
    <t>/api/lunch-specials/{id}</t>
  </si>
  <si>
    <t>API-POST-coupons-issue</t>
  </si>
  <si>
    <t>POST</t>
  </si>
  <si>
    <t>/api/coupons/issue</t>
  </si>
  <si>
    <t>API-POST-auth-verify-identity</t>
  </si>
  <si>
    <t>/api/auth/verify-identity</t>
  </si>
  <si>
    <t>API-POST-coupons-token</t>
  </si>
  <si>
    <t>/api/coupons/{id}/token</t>
  </si>
  <si>
    <t>API-POST-coupons-redeem</t>
  </si>
  <si>
    <t>/api/coupons/redeem</t>
  </si>
  <si>
    <t>API-GET-coupons-me</t>
  </si>
  <si>
    <t>/api/coupons/me</t>
  </si>
  <si>
    <t>F-0307, F-0309</t>
  </si>
  <si>
    <t>/api/notifications</t>
  </si>
  <si>
    <t>F-0308, F-9006</t>
  </si>
  <si>
    <t>API-POST-owners-verify-business</t>
  </si>
  <si>
    <t>/api/owners/verify-business</t>
  </si>
  <si>
    <t>API-POST-stores</t>
  </si>
  <si>
    <t>/api/stores</t>
  </si>
  <si>
    <t>API-PATCH-stores-meta</t>
  </si>
  <si>
    <t>PATCH</t>
  </si>
  <si>
    <t>/api/stores/{id}/meta</t>
  </si>
  <si>
    <t>API-POST-lunch-specials</t>
  </si>
  <si>
    <t>/api/stores/{id}/lunch-specials</t>
  </si>
  <si>
    <t>API-POST-recurring-specials</t>
  </si>
  <si>
    <t>/api/stores/{id}/recurring-specials</t>
  </si>
  <si>
    <t>API-PATCH-lunch-specials-status</t>
  </si>
  <si>
    <t>/api/lunch-specials/{id}/status</t>
  </si>
  <si>
    <t>API-PATCH-stores-status</t>
  </si>
  <si>
    <t>/api/stores/{id}/status</t>
  </si>
  <si>
    <t>API-PATCH-stores</t>
  </si>
  <si>
    <t>/api/stores/{id}</t>
  </si>
  <si>
    <t>API-POST-coupons</t>
  </si>
  <si>
    <t>/api/stores/{id}/coupons</t>
  </si>
  <si>
    <t>API-GET-metrics</t>
  </si>
  <si>
    <t>/api/stores/{id}/metrics</t>
  </si>
  <si>
    <t>F-0504, F-0505</t>
  </si>
  <si>
    <t>API-GET-roi</t>
  </si>
  <si>
    <t>/api/stores/{id}/roi</t>
  </si>
  <si>
    <t>API-GET-coupons-analytics</t>
  </si>
  <si>
    <t>/api/stores/{id}/coupons/analytics</t>
  </si>
  <si>
    <t>API-POST-auth-signup</t>
  </si>
  <si>
    <t>/api/auth/signup</t>
  </si>
  <si>
    <t>API-POST-auth-signup-owner</t>
  </si>
  <si>
    <t>/api/auth/signup-owner</t>
  </si>
  <si>
    <t>API-POST-reports</t>
  </si>
  <si>
    <t>/api/reports</t>
  </si>
  <si>
    <t>API-DELETE-users-me</t>
  </si>
  <si>
    <t>DELETE</t>
  </si>
  <si>
    <t>/api/users/me</t>
  </si>
  <si>
    <t>API-GET-metrics-export</t>
  </si>
  <si>
    <t>/api/stores/{id}/metrics/export</t>
  </si>
  <si>
    <t>API-POST-reviews</t>
  </si>
  <si>
    <t>/api/stores/{id}/reviews</t>
  </si>
  <si>
    <t>API-POST-favorites</t>
  </si>
  <si>
    <t>/api/users/me/favorites</t>
  </si>
  <si>
    <t>API-POST-b2b-employees</t>
  </si>
  <si>
    <t>/api/b2b/{companyId}/employees/bulk</t>
  </si>
  <si>
    <t>API-GET-b2b-settlements</t>
  </si>
  <si>
    <t>/api/b2b/{companyId}/settlements</t>
  </si>
  <si>
    <t>API-POST-ads</t>
  </si>
  <si>
    <t>/api/ads/campaigns</t>
  </si>
  <si>
    <t>API-POST-payments</t>
  </si>
  <si>
    <t>/api/payments/intent, /confirm, /refund</t>
  </si>
  <si>
    <t>API-POST-invitations</t>
  </si>
  <si>
    <t>/api/invitations</t>
  </si>
  <si>
    <t>METHOD별 집계</t>
  </si>
  <si>
    <t>변경 이력</t>
  </si>
  <si>
    <t>일자</t>
  </si>
  <si>
    <t>변경 내용</t>
  </si>
  <si>
    <t>작성자</t>
  </si>
  <si>
    <t>최초 작성. 요구사항정의서 v1.0 (REQ 61건) → 기능 ID 59건 매핑 (Must 47 + Should 8 + Could 4). 각 Must 기능별 입력/처리/출력/예외/화면/API 7요소 풀 명세. SCR-USR/OWN/ADM 화면 ID 33종 + API 엔드포인트 34종 사전 정의.</t>
  </si>
  <si>
    <t>PM</t>
  </si>
</sst>
</file>

<file path=xl/styles.xml><?xml version="1.0" encoding="utf-8"?>
<styleSheet xmlns="http://schemas.openxmlformats.org/spreadsheetml/2006/main">
  <numFmts count="1">
    <numFmt formatCode="0&quot;건&quot;" numFmtId="164"/>
  </numFmts>
  <fonts count="10">
    <font>
      <name val="Calibri"/>
      <family val="2"/>
      <color theme="1"/>
      <sz val="11"/>
      <scheme val="minor"/>
    </font>
    <font>
      <name val="맑은 고딕"/>
      <b val="1"/>
      <color rgb="002F5496"/>
      <sz val="18"/>
    </font>
    <font>
      <name val="맑은 고딕"/>
      <b val="1"/>
      <sz val="14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1"/>
    </font>
    <font>
      <name val="맑은 고딕"/>
      <b val="1"/>
      <color rgb="002F5496"/>
      <sz val="14"/>
    </font>
    <font>
      <name val="맑은 고딕"/>
      <i val="1"/>
      <color rgb="00808080"/>
      <sz val="10"/>
    </font>
    <font>
      <name val="맑은 고딕"/>
      <b val="1"/>
      <color rgb="001F3864"/>
      <sz val="12"/>
    </font>
    <font>
      <name val="Consolas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borderId="0" fillId="0" fontId="0" numFmtId="0"/>
  </cellStyleXfs>
  <cellXfs count="2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0" fillId="0" fontId="4" numFmtId="0" pivotButton="0" quotePrefix="0" xfId="0">
      <alignment horizontal="left" vertical="top" wrapText="1"/>
    </xf>
    <xf applyAlignment="1" borderId="1" fillId="2" fontId="5" numFmtId="0" pivotButton="0" quotePrefix="0" xfId="0">
      <alignment horizontal="center" vertical="center" wrapText="1"/>
    </xf>
    <xf applyAlignment="1" borderId="1" fillId="0" fontId="4" numFmtId="0" pivotButton="0" quotePrefix="0" xfId="0">
      <alignment horizontal="left" vertical="top" wrapText="1"/>
    </xf>
    <xf applyAlignment="1" borderId="1" fillId="3" fontId="3" numFmtId="0" pivotButton="0" quotePrefix="0" xfId="0">
      <alignment horizontal="left" vertical="top" wrapText="1"/>
    </xf>
    <xf applyAlignment="1" borderId="1" fillId="4" fontId="3" numFmtId="0" pivotButton="0" quotePrefix="0" xfId="0">
      <alignment horizontal="left" vertical="top" wrapText="1"/>
    </xf>
    <xf applyAlignment="1" borderId="1" fillId="5" fontId="3" numFmtId="0" pivotButton="0" quotePrefix="0" xfId="0">
      <alignment horizontal="left" vertical="top" wrapText="1"/>
    </xf>
    <xf borderId="0" fillId="0" fontId="3" numFmtId="164" pivotButton="0" quotePrefix="0" xfId="0"/>
    <xf borderId="0" fillId="0" fontId="0" numFmtId="164" pivotButton="0" quotePrefix="0" xfId="0"/>
    <xf borderId="0" fillId="0" fontId="6" numFmtId="0" pivotButton="0" quotePrefix="0" xfId="0"/>
    <xf applyAlignment="1" borderId="1" fillId="6" fontId="3" numFmtId="0" pivotButton="0" quotePrefix="0" xfId="0">
      <alignment horizontal="center" vertical="top" wrapText="1"/>
    </xf>
    <xf applyAlignment="1" borderId="1" fillId="0" fontId="3" numFmtId="0" pivotButton="0" quotePrefix="0" xfId="0">
      <alignment horizontal="left" vertical="top" wrapText="1"/>
    </xf>
    <xf borderId="0" fillId="0" fontId="7" numFmtId="0" pivotButton="0" quotePrefix="0" xfId="0"/>
    <xf applyAlignment="1" borderId="1" fillId="4" fontId="3" numFmtId="0" pivotButton="0" quotePrefix="0" xfId="0">
      <alignment horizontal="center" vertical="center" wrapText="1"/>
    </xf>
    <xf applyAlignment="1" borderId="1" fillId="5" fontId="3" numFmtId="0" pivotButton="0" quotePrefix="0" xfId="0">
      <alignment horizontal="center" vertical="center" wrapText="1"/>
    </xf>
    <xf borderId="0" fillId="0" fontId="8" numFmtId="0" pivotButton="0" quotePrefix="0" xfId="0"/>
    <xf applyAlignment="1" borderId="1" fillId="0" fontId="9" numFmtId="0" pivotButton="0" quotePrefix="0" xfId="0">
      <alignment horizontal="left" vertical="top" wrapText="1"/>
    </xf>
    <xf applyAlignment="1" borderId="1" fillId="7" fontId="3" numFmtId="0" pivotButton="0" quotePrefix="0" xfId="0">
      <alignment horizontal="center" vertical="center" wrapText="1"/>
    </xf>
    <xf applyAlignment="1" borderId="1" fillId="3" fontId="3" numFmtId="0" pivotButton="0" quotePrefix="0" xfId="0">
      <alignment horizontal="center" vertical="center" wrapText="1"/>
    </xf>
    <xf borderId="1" fillId="0" fontId="3" numFmtId="0" pivotButton="0" quotePrefix="0" xfId="0"/>
    <xf borderId="1" fillId="0" fontId="4" numFmtId="0" pivotButton="0" quotePrefix="0" xfId="0"/>
    <xf applyAlignment="1" borderId="1" fillId="0" fontId="4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/xl/worksheets/sheet9.xml" Type="http://schemas.openxmlformats.org/officeDocument/2006/relationships/worksheet"/><Relationship Id="rId10" Target="/xl/worksheets/sheet10.xml" Type="http://schemas.openxmlformats.org/officeDocument/2006/relationships/worksheet"/><Relationship Id="rId11" Target="/xl/worksheets/sheet11.xml" Type="http://schemas.openxmlformats.org/officeDocument/2006/relationships/worksheet"/><Relationship Id="rId12" Target="/xl/worksheets/sheet12.xml" Type="http://schemas.openxmlformats.org/officeDocument/2006/relationships/worksheet"/><Relationship Id="rId13" Target="sharedStrings.xml" Type="http://schemas.openxmlformats.org/officeDocument/2006/relationships/sharedStrings"/><Relationship Id="rId14" Target="styles.xml" Type="http://schemas.openxmlformats.org/officeDocument/2006/relationships/styles"/><Relationship Id="rId15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 outlineLevelCol="0"/>
  <cols>
    <col customWidth="1" max="1" min="1" width="20"/>
    <col customWidth="1" max="2" min="2" width="30"/>
    <col customWidth="1" max="3" min="3" width="25"/>
    <col customWidth="1" max="4" min="4" width="25"/>
    <col customWidth="1" max="5" min="5" width="25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4" t="s">
        <v>1</v>
      </c>
    </row>
    <row r="5" spans="1:2">
      <c r="A5" s="3" t="s">
        <v>3</v>
      </c>
      <c r="B5" s="4" t="s">
        <v>4</v>
      </c>
    </row>
    <row r="6" spans="1:2">
      <c r="A6" s="3" t="s">
        <v>5</v>
      </c>
      <c r="B6" s="4" t="s">
        <v>6</v>
      </c>
    </row>
    <row r="7" spans="1:2">
      <c r="A7" s="3" t="s">
        <v>7</v>
      </c>
      <c r="B7" s="4" t="s">
        <v>8</v>
      </c>
    </row>
    <row r="8" spans="1:2">
      <c r="A8" s="3" t="s">
        <v>9</v>
      </c>
      <c r="B8" s="4" t="s">
        <v>10</v>
      </c>
    </row>
    <row r="9" spans="1:2">
      <c r="A9" s="3" t="s">
        <v>11</v>
      </c>
      <c r="B9" s="4" t="s">
        <v>12</v>
      </c>
    </row>
    <row r="10" spans="1:2">
      <c r="A10" s="3" t="s"/>
      <c r="B10" s="4" t="s"/>
    </row>
    <row r="11" spans="1:2">
      <c r="A11" s="3" t="s">
        <v>13</v>
      </c>
      <c r="B11" s="4" t="s"/>
    </row>
    <row r="12" spans="1:2">
      <c r="A12" s="3" t="s">
        <v>14</v>
      </c>
      <c r="B12" s="4" t="s">
        <v>15</v>
      </c>
    </row>
    <row r="13" spans="1:2">
      <c r="A13" s="3" t="s">
        <v>16</v>
      </c>
      <c r="B13" s="4" t="s">
        <v>17</v>
      </c>
    </row>
    <row r="14" spans="1:2">
      <c r="A14" s="3" t="s">
        <v>18</v>
      </c>
      <c r="B14" s="4" t="s">
        <v>19</v>
      </c>
    </row>
    <row r="15" spans="1:2">
      <c r="A15" s="3" t="s"/>
      <c r="B15" s="4" t="s"/>
    </row>
    <row r="16" spans="1:2">
      <c r="A16" s="3" t="s">
        <v>20</v>
      </c>
      <c r="B16" s="4" t="s">
        <v>21</v>
      </c>
    </row>
    <row r="17" spans="1:2">
      <c r="A17" s="3" t="s">
        <v>22</v>
      </c>
      <c r="B17" s="4" t="s">
        <v>23</v>
      </c>
    </row>
    <row r="18" spans="1:2">
      <c r="A18" s="3" t="s">
        <v>24</v>
      </c>
      <c r="B18" s="4" t="s">
        <v>25</v>
      </c>
    </row>
    <row r="19" spans="1:2">
      <c r="A19" s="3" t="s">
        <v>26</v>
      </c>
      <c r="B19" s="4" t="s">
        <v>27</v>
      </c>
    </row>
    <row r="20" spans="1:2">
      <c r="A20" s="3" t="s"/>
      <c r="B20" s="4" t="s"/>
    </row>
    <row r="21" spans="1:2">
      <c r="A21" s="3" t="s">
        <v>28</v>
      </c>
      <c r="B21" s="4" t="s"/>
    </row>
    <row r="22" spans="1:2">
      <c r="A22" s="3" t="s">
        <v>29</v>
      </c>
      <c r="B22" s="4" t="s">
        <v>30</v>
      </c>
    </row>
    <row r="23" spans="1:2">
      <c r="A23" s="3" t="s">
        <v>31</v>
      </c>
      <c r="B23" s="4" t="s">
        <v>32</v>
      </c>
    </row>
    <row r="24" spans="1:2">
      <c r="A24" s="3" t="s">
        <v>33</v>
      </c>
      <c r="B24" s="4" t="s">
        <v>34</v>
      </c>
    </row>
    <row r="25" spans="1:2">
      <c r="A25" s="3" t="s">
        <v>35</v>
      </c>
      <c r="B25" s="4" t="s">
        <v>36</v>
      </c>
    </row>
    <row r="26" spans="1:2">
      <c r="A26" s="3" t="s">
        <v>37</v>
      </c>
      <c r="B26" s="4" t="s">
        <v>38</v>
      </c>
    </row>
    <row r="27" spans="1:2">
      <c r="A27" s="3" t="s">
        <v>39</v>
      </c>
      <c r="B27" s="4" t="s">
        <v>40</v>
      </c>
    </row>
    <row r="28" spans="1:2">
      <c r="A28" s="3" t="s">
        <v>41</v>
      </c>
      <c r="B28" s="4" t="s">
        <v>42</v>
      </c>
    </row>
    <row r="29" spans="1:2">
      <c r="A29" s="3" t="s">
        <v>43</v>
      </c>
      <c r="B29" s="4" t="s">
        <v>44</v>
      </c>
    </row>
    <row r="30" spans="1:2">
      <c r="A30" s="3" t="s">
        <v>45</v>
      </c>
      <c r="B30" s="4" t="s">
        <v>46</v>
      </c>
    </row>
    <row r="31" spans="1:2">
      <c r="A31" s="3" t="s">
        <v>47</v>
      </c>
      <c r="B31" s="4" t="s">
        <v>48</v>
      </c>
    </row>
    <row r="32" spans="1:2">
      <c r="A32" s="3" t="s">
        <v>49</v>
      </c>
      <c r="B32" s="4" t="s">
        <v>50</v>
      </c>
    </row>
    <row r="33" spans="1:2">
      <c r="A33" s="3" t="s">
        <v>51</v>
      </c>
      <c r="B33" s="4" t="s">
        <v>52</v>
      </c>
    </row>
  </sheetData>
  <mergeCells count="32">
    <mergeCell ref="A1:D1"/>
    <mergeCell ref="A2:D2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2"/>
    <col customWidth="1" max="2" min="2" width="38"/>
    <col customWidth="1" max="3" min="3" width="16"/>
    <col customWidth="1" max="4" min="4" width="10"/>
    <col customWidth="1" max="5" min="5" width="12"/>
    <col customWidth="1" max="6" min="6" width="30"/>
  </cols>
  <sheetData>
    <row r="1" spans="1:6">
      <c r="A1" s="5" t="s">
        <v>53</v>
      </c>
      <c r="B1" s="5" t="s">
        <v>54</v>
      </c>
      <c r="C1" s="5" t="s">
        <v>55</v>
      </c>
      <c r="D1" s="5" t="s">
        <v>56</v>
      </c>
      <c r="E1" s="5" t="s">
        <v>57</v>
      </c>
      <c r="F1" s="5" t="s">
        <v>58</v>
      </c>
    </row>
    <row r="2" spans="1:6">
      <c r="A2" s="6" t="s">
        <v>59</v>
      </c>
      <c r="B2" s="6" t="s">
        <v>60</v>
      </c>
      <c r="C2" s="6" t="s">
        <v>61</v>
      </c>
      <c r="D2" s="7" t="s">
        <v>62</v>
      </c>
      <c r="E2" s="6" t="s">
        <v>63</v>
      </c>
      <c r="F2" s="6" t="s">
        <v>64</v>
      </c>
    </row>
    <row r="3" spans="1:6">
      <c r="A3" s="6" t="s">
        <v>65</v>
      </c>
      <c r="B3" s="6" t="s">
        <v>66</v>
      </c>
      <c r="C3" s="6" t="s">
        <v>67</v>
      </c>
      <c r="D3" s="7" t="s">
        <v>62</v>
      </c>
      <c r="E3" s="6" t="s">
        <v>63</v>
      </c>
      <c r="F3" s="6" t="s">
        <v>64</v>
      </c>
    </row>
    <row r="4" spans="1:6">
      <c r="A4" s="6" t="s">
        <v>68</v>
      </c>
      <c r="B4" s="6" t="s">
        <v>69</v>
      </c>
      <c r="C4" s="6" t="s">
        <v>70</v>
      </c>
      <c r="D4" s="7" t="s">
        <v>62</v>
      </c>
      <c r="E4" s="6" t="s">
        <v>63</v>
      </c>
      <c r="F4" s="6" t="s">
        <v>64</v>
      </c>
    </row>
    <row r="5" spans="1:6">
      <c r="A5" s="6" t="s">
        <v>71</v>
      </c>
      <c r="B5" s="6" t="s">
        <v>72</v>
      </c>
      <c r="C5" s="6" t="s">
        <v>73</v>
      </c>
      <c r="D5" s="7" t="s">
        <v>62</v>
      </c>
      <c r="E5" s="6" t="s">
        <v>63</v>
      </c>
      <c r="F5" s="6" t="s">
        <v>64</v>
      </c>
    </row>
    <row r="6" spans="1:6">
      <c r="A6" s="6" t="s">
        <v>74</v>
      </c>
      <c r="B6" s="6" t="s">
        <v>75</v>
      </c>
      <c r="C6" s="6" t="s">
        <v>76</v>
      </c>
      <c r="D6" s="7" t="s">
        <v>62</v>
      </c>
      <c r="E6" s="6" t="s">
        <v>63</v>
      </c>
      <c r="F6" s="6" t="s">
        <v>64</v>
      </c>
    </row>
    <row r="7" spans="1:6">
      <c r="A7" s="6" t="s">
        <v>77</v>
      </c>
      <c r="B7" s="6" t="s">
        <v>78</v>
      </c>
      <c r="C7" s="6" t="s">
        <v>79</v>
      </c>
      <c r="D7" s="7" t="s">
        <v>62</v>
      </c>
      <c r="E7" s="6" t="s">
        <v>63</v>
      </c>
      <c r="F7" s="6" t="s">
        <v>64</v>
      </c>
    </row>
    <row r="8" spans="1:6">
      <c r="A8" s="6" t="s">
        <v>80</v>
      </c>
      <c r="B8" s="6" t="s">
        <v>81</v>
      </c>
      <c r="C8" s="6" t="s">
        <v>82</v>
      </c>
      <c r="D8" s="7" t="s">
        <v>62</v>
      </c>
      <c r="E8" s="6" t="s">
        <v>83</v>
      </c>
      <c r="F8" s="6" t="s">
        <v>64</v>
      </c>
    </row>
    <row r="9" spans="1:6">
      <c r="A9" s="6" t="s">
        <v>84</v>
      </c>
      <c r="B9" s="6" t="s">
        <v>85</v>
      </c>
      <c r="C9" s="6" t="s">
        <v>86</v>
      </c>
      <c r="D9" s="7" t="s">
        <v>62</v>
      </c>
      <c r="E9" s="6" t="s">
        <v>63</v>
      </c>
      <c r="F9" s="6" t="s">
        <v>64</v>
      </c>
    </row>
    <row r="10" spans="1:6">
      <c r="A10" s="6" t="s">
        <v>87</v>
      </c>
      <c r="B10" s="6" t="s">
        <v>88</v>
      </c>
      <c r="C10" s="6" t="s">
        <v>89</v>
      </c>
      <c r="D10" s="7" t="s">
        <v>62</v>
      </c>
      <c r="E10" s="6" t="s">
        <v>83</v>
      </c>
      <c r="F10" s="6" t="s">
        <v>90</v>
      </c>
    </row>
    <row r="11" spans="1:6">
      <c r="A11" s="6" t="s">
        <v>91</v>
      </c>
      <c r="B11" s="6" t="s">
        <v>92</v>
      </c>
      <c r="C11" s="6" t="s">
        <v>93</v>
      </c>
      <c r="D11" s="7" t="s">
        <v>62</v>
      </c>
      <c r="E11" s="6" t="s">
        <v>83</v>
      </c>
      <c r="F11" s="6" t="s">
        <v>90</v>
      </c>
    </row>
    <row r="12" spans="1:6">
      <c r="A12" s="6" t="s">
        <v>94</v>
      </c>
      <c r="B12" s="6" t="s">
        <v>95</v>
      </c>
      <c r="C12" s="6" t="s">
        <v>96</v>
      </c>
      <c r="D12" s="7" t="s">
        <v>62</v>
      </c>
      <c r="E12" s="6" t="s">
        <v>83</v>
      </c>
      <c r="F12" s="6" t="s">
        <v>90</v>
      </c>
    </row>
    <row r="13" spans="1:6">
      <c r="A13" s="6" t="s">
        <v>97</v>
      </c>
      <c r="B13" s="6" t="s">
        <v>98</v>
      </c>
      <c r="C13" s="6" t="s">
        <v>99</v>
      </c>
      <c r="D13" s="7" t="s">
        <v>62</v>
      </c>
      <c r="E13" s="6" t="s">
        <v>83</v>
      </c>
      <c r="F13" s="6" t="s">
        <v>90</v>
      </c>
    </row>
    <row r="14" spans="1:6">
      <c r="A14" s="6" t="s">
        <v>100</v>
      </c>
      <c r="B14" s="6" t="s">
        <v>101</v>
      </c>
      <c r="C14" s="6" t="s">
        <v>102</v>
      </c>
      <c r="D14" s="7" t="s">
        <v>62</v>
      </c>
      <c r="E14" s="6" t="s">
        <v>83</v>
      </c>
      <c r="F14" s="6" t="s">
        <v>90</v>
      </c>
    </row>
    <row r="15" spans="1:6">
      <c r="A15" s="6" t="s">
        <v>103</v>
      </c>
      <c r="B15" s="6" t="s">
        <v>104</v>
      </c>
      <c r="C15" s="6" t="s">
        <v>105</v>
      </c>
      <c r="D15" s="7" t="s">
        <v>62</v>
      </c>
      <c r="E15" s="6" t="s">
        <v>83</v>
      </c>
      <c r="F15" s="6" t="s">
        <v>90</v>
      </c>
    </row>
    <row r="16" spans="1:6">
      <c r="A16" s="6" t="s">
        <v>106</v>
      </c>
      <c r="B16" s="6" t="s">
        <v>107</v>
      </c>
      <c r="C16" s="6" t="s">
        <v>108</v>
      </c>
      <c r="D16" s="7" t="s">
        <v>62</v>
      </c>
      <c r="E16" s="6" t="s">
        <v>83</v>
      </c>
      <c r="F16" s="6" t="s">
        <v>90</v>
      </c>
    </row>
    <row r="17" spans="1:6">
      <c r="A17" s="6" t="s">
        <v>109</v>
      </c>
      <c r="B17" s="6" t="s">
        <v>110</v>
      </c>
      <c r="C17" s="6" t="s">
        <v>111</v>
      </c>
      <c r="D17" s="7" t="s">
        <v>62</v>
      </c>
      <c r="E17" s="6" t="s">
        <v>83</v>
      </c>
      <c r="F17" s="6" t="s">
        <v>112</v>
      </c>
    </row>
    <row r="18" spans="1:6">
      <c r="A18" s="6" t="s">
        <v>113</v>
      </c>
      <c r="B18" s="6" t="s">
        <v>114</v>
      </c>
      <c r="C18" s="6" t="s">
        <v>115</v>
      </c>
      <c r="D18" s="7" t="s">
        <v>62</v>
      </c>
      <c r="E18" s="6" t="s">
        <v>83</v>
      </c>
      <c r="F18" s="6" t="s">
        <v>112</v>
      </c>
    </row>
    <row r="19" spans="1:6">
      <c r="A19" s="6" t="s">
        <v>116</v>
      </c>
      <c r="B19" s="6" t="s">
        <v>117</v>
      </c>
      <c r="C19" s="6" t="s">
        <v>118</v>
      </c>
      <c r="D19" s="7" t="s">
        <v>62</v>
      </c>
      <c r="E19" s="6" t="s">
        <v>83</v>
      </c>
      <c r="F19" s="6" t="s">
        <v>112</v>
      </c>
    </row>
    <row r="20" spans="1:6">
      <c r="A20" s="6" t="s">
        <v>119</v>
      </c>
      <c r="B20" s="6" t="s">
        <v>120</v>
      </c>
      <c r="C20" s="6" t="s">
        <v>121</v>
      </c>
      <c r="D20" s="7" t="s">
        <v>62</v>
      </c>
      <c r="E20" s="6" t="s">
        <v>83</v>
      </c>
      <c r="F20" s="6" t="s">
        <v>112</v>
      </c>
    </row>
    <row r="21" spans="1:6">
      <c r="A21" s="6" t="s">
        <v>122</v>
      </c>
      <c r="B21" s="6" t="s">
        <v>123</v>
      </c>
      <c r="C21" s="6" t="s">
        <v>124</v>
      </c>
      <c r="D21" s="7" t="s">
        <v>62</v>
      </c>
      <c r="E21" s="6" t="s">
        <v>83</v>
      </c>
      <c r="F21" s="6" t="s">
        <v>112</v>
      </c>
    </row>
    <row r="22" spans="1:6">
      <c r="A22" s="6" t="s">
        <v>125</v>
      </c>
      <c r="B22" s="6" t="s">
        <v>126</v>
      </c>
      <c r="C22" s="6" t="s">
        <v>127</v>
      </c>
      <c r="D22" s="7" t="s">
        <v>62</v>
      </c>
      <c r="E22" s="6" t="s">
        <v>83</v>
      </c>
      <c r="F22" s="6" t="s">
        <v>112</v>
      </c>
    </row>
    <row r="23" spans="1:6">
      <c r="A23" s="6" t="s">
        <v>128</v>
      </c>
      <c r="B23" s="6" t="s">
        <v>129</v>
      </c>
      <c r="C23" s="6" t="s">
        <v>130</v>
      </c>
      <c r="D23" s="7" t="s">
        <v>62</v>
      </c>
      <c r="E23" s="6" t="s">
        <v>83</v>
      </c>
      <c r="F23" s="6" t="s">
        <v>112</v>
      </c>
    </row>
    <row r="24" spans="1:6">
      <c r="A24" s="6" t="s">
        <v>131</v>
      </c>
      <c r="B24" s="6" t="s">
        <v>132</v>
      </c>
      <c r="C24" s="6" t="s">
        <v>133</v>
      </c>
      <c r="D24" s="7" t="s">
        <v>62</v>
      </c>
      <c r="E24" s="6" t="s">
        <v>83</v>
      </c>
      <c r="F24" s="6" t="s">
        <v>112</v>
      </c>
    </row>
    <row r="25" spans="1:6">
      <c r="A25" s="6" t="s">
        <v>134</v>
      </c>
      <c r="B25" s="6" t="s">
        <v>135</v>
      </c>
      <c r="C25" s="6" t="s">
        <v>136</v>
      </c>
      <c r="D25" s="7" t="s">
        <v>62</v>
      </c>
      <c r="E25" s="6" t="s">
        <v>83</v>
      </c>
      <c r="F25" s="6" t="s">
        <v>112</v>
      </c>
    </row>
    <row r="26" spans="1:6">
      <c r="A26" s="6" t="s">
        <v>137</v>
      </c>
      <c r="B26" s="6" t="s">
        <v>138</v>
      </c>
      <c r="C26" s="6" t="s">
        <v>139</v>
      </c>
      <c r="D26" s="7" t="s">
        <v>62</v>
      </c>
      <c r="E26" s="6" t="s">
        <v>63</v>
      </c>
      <c r="F26" s="6" t="s">
        <v>140</v>
      </c>
    </row>
    <row r="27" spans="1:6">
      <c r="A27" s="6" t="s">
        <v>141</v>
      </c>
      <c r="B27" s="6" t="s">
        <v>142</v>
      </c>
      <c r="C27" s="6" t="s">
        <v>143</v>
      </c>
      <c r="D27" s="7" t="s">
        <v>62</v>
      </c>
      <c r="E27" s="6" t="s">
        <v>63</v>
      </c>
      <c r="F27" s="6" t="s">
        <v>140</v>
      </c>
    </row>
    <row r="28" spans="1:6">
      <c r="A28" s="6" t="s">
        <v>144</v>
      </c>
      <c r="B28" s="6" t="s">
        <v>145</v>
      </c>
      <c r="C28" s="6" t="s">
        <v>146</v>
      </c>
      <c r="D28" s="7" t="s">
        <v>62</v>
      </c>
      <c r="E28" s="6" t="s">
        <v>63</v>
      </c>
      <c r="F28" s="6" t="s">
        <v>140</v>
      </c>
    </row>
    <row r="29" spans="1:6">
      <c r="A29" s="6" t="s">
        <v>147</v>
      </c>
      <c r="B29" s="6" t="s">
        <v>148</v>
      </c>
      <c r="C29" s="6" t="s">
        <v>149</v>
      </c>
      <c r="D29" s="7" t="s">
        <v>62</v>
      </c>
      <c r="E29" s="6" t="s">
        <v>83</v>
      </c>
      <c r="F29" s="6" t="s">
        <v>140</v>
      </c>
    </row>
    <row r="30" spans="1:6">
      <c r="A30" s="6" t="s">
        <v>150</v>
      </c>
      <c r="B30" s="6" t="s">
        <v>151</v>
      </c>
      <c r="C30" s="6" t="s">
        <v>152</v>
      </c>
      <c r="D30" s="7" t="s">
        <v>62</v>
      </c>
      <c r="E30" s="6" t="s">
        <v>83</v>
      </c>
      <c r="F30" s="6" t="s">
        <v>140</v>
      </c>
    </row>
    <row r="31" spans="1:6">
      <c r="A31" s="6" t="s">
        <v>153</v>
      </c>
      <c r="B31" s="6" t="s">
        <v>154</v>
      </c>
      <c r="C31" s="6" t="s">
        <v>155</v>
      </c>
      <c r="D31" s="7" t="s">
        <v>62</v>
      </c>
      <c r="E31" s="6" t="s">
        <v>83</v>
      </c>
      <c r="F31" s="6" t="s">
        <v>140</v>
      </c>
    </row>
    <row r="32" spans="1:6">
      <c r="A32" s="6" t="s">
        <v>156</v>
      </c>
      <c r="B32" s="6" t="s">
        <v>157</v>
      </c>
      <c r="C32" s="6" t="s">
        <v>158</v>
      </c>
      <c r="D32" s="7" t="s">
        <v>62</v>
      </c>
      <c r="E32" s="6" t="s">
        <v>83</v>
      </c>
      <c r="F32" s="6" t="s">
        <v>140</v>
      </c>
    </row>
    <row r="33" spans="1:6">
      <c r="A33" s="6" t="s">
        <v>159</v>
      </c>
      <c r="B33" s="6" t="s">
        <v>160</v>
      </c>
      <c r="C33" s="6" t="s">
        <v>161</v>
      </c>
      <c r="D33" s="7" t="s">
        <v>62</v>
      </c>
      <c r="E33" s="6" t="s">
        <v>63</v>
      </c>
      <c r="F33" s="6" t="s">
        <v>140</v>
      </c>
    </row>
    <row r="34" spans="1:6">
      <c r="A34" s="6" t="s">
        <v>162</v>
      </c>
      <c r="B34" s="6" t="s">
        <v>163</v>
      </c>
      <c r="C34" s="6" t="s">
        <v>164</v>
      </c>
      <c r="D34" s="7" t="s">
        <v>62</v>
      </c>
      <c r="E34" s="6" t="s">
        <v>83</v>
      </c>
      <c r="F34" s="6" t="s">
        <v>165</v>
      </c>
    </row>
    <row r="35" spans="1:6">
      <c r="A35" s="6" t="s">
        <v>166</v>
      </c>
      <c r="B35" s="6" t="s">
        <v>167</v>
      </c>
      <c r="C35" s="6" t="s">
        <v>168</v>
      </c>
      <c r="D35" s="7" t="s">
        <v>62</v>
      </c>
      <c r="E35" s="6" t="s">
        <v>83</v>
      </c>
      <c r="F35" s="6" t="s">
        <v>165</v>
      </c>
    </row>
    <row r="36" spans="1:6">
      <c r="A36" s="6" t="s">
        <v>169</v>
      </c>
      <c r="B36" s="6" t="s">
        <v>170</v>
      </c>
      <c r="C36" s="6" t="s">
        <v>171</v>
      </c>
      <c r="D36" s="7" t="s">
        <v>62</v>
      </c>
      <c r="E36" s="6" t="s">
        <v>83</v>
      </c>
      <c r="F36" s="6" t="s">
        <v>165</v>
      </c>
    </row>
    <row r="37" spans="1:6">
      <c r="A37" s="6" t="s">
        <v>172</v>
      </c>
      <c r="B37" s="6" t="s">
        <v>173</v>
      </c>
      <c r="C37" s="6" t="s">
        <v>174</v>
      </c>
      <c r="D37" s="7" t="s">
        <v>62</v>
      </c>
      <c r="E37" s="6" t="s">
        <v>83</v>
      </c>
      <c r="F37" s="6" t="s">
        <v>165</v>
      </c>
    </row>
    <row r="38" spans="1:6">
      <c r="A38" s="6" t="s">
        <v>175</v>
      </c>
      <c r="B38" s="6" t="s">
        <v>176</v>
      </c>
      <c r="C38" s="6" t="s">
        <v>177</v>
      </c>
      <c r="D38" s="7" t="s">
        <v>62</v>
      </c>
      <c r="E38" s="6" t="s">
        <v>83</v>
      </c>
      <c r="F38" s="6" t="s">
        <v>165</v>
      </c>
    </row>
    <row r="39" spans="1:6">
      <c r="A39" s="6" t="s">
        <v>178</v>
      </c>
      <c r="B39" s="6" t="s">
        <v>179</v>
      </c>
      <c r="C39" s="6" t="s">
        <v>180</v>
      </c>
      <c r="D39" s="7" t="s">
        <v>62</v>
      </c>
      <c r="E39" s="6" t="s">
        <v>83</v>
      </c>
      <c r="F39" s="6" t="s">
        <v>165</v>
      </c>
    </row>
    <row r="40" spans="1:6">
      <c r="A40" s="6" t="s">
        <v>181</v>
      </c>
      <c r="B40" s="6" t="s">
        <v>182</v>
      </c>
      <c r="C40" s="6" t="s">
        <v>183</v>
      </c>
      <c r="D40" s="7" t="s">
        <v>62</v>
      </c>
      <c r="E40" s="6" t="s">
        <v>83</v>
      </c>
      <c r="F40" s="6" t="s">
        <v>165</v>
      </c>
    </row>
    <row r="41" spans="1:6">
      <c r="A41" s="6" t="s">
        <v>184</v>
      </c>
      <c r="B41" s="6" t="s">
        <v>185</v>
      </c>
      <c r="C41" s="6" t="s">
        <v>186</v>
      </c>
      <c r="D41" s="7" t="s">
        <v>62</v>
      </c>
      <c r="E41" s="6" t="s">
        <v>63</v>
      </c>
      <c r="F41" s="6" t="s">
        <v>187</v>
      </c>
    </row>
    <row r="42" spans="1:6">
      <c r="A42" s="6" t="s">
        <v>188</v>
      </c>
      <c r="B42" s="6" t="s">
        <v>189</v>
      </c>
      <c r="C42" s="6" t="s">
        <v>190</v>
      </c>
      <c r="D42" s="7" t="s">
        <v>62</v>
      </c>
      <c r="E42" s="6" t="s">
        <v>63</v>
      </c>
      <c r="F42" s="6" t="s">
        <v>187</v>
      </c>
    </row>
    <row r="43" spans="1:6">
      <c r="A43" s="6" t="s">
        <v>191</v>
      </c>
      <c r="B43" s="6" t="s">
        <v>192</v>
      </c>
      <c r="C43" s="6" t="s">
        <v>193</v>
      </c>
      <c r="D43" s="7" t="s">
        <v>62</v>
      </c>
      <c r="E43" s="6" t="s">
        <v>63</v>
      </c>
      <c r="F43" s="6" t="s">
        <v>187</v>
      </c>
    </row>
    <row r="44" spans="1:6">
      <c r="A44" s="6" t="s">
        <v>194</v>
      </c>
      <c r="B44" s="6" t="s">
        <v>195</v>
      </c>
      <c r="C44" s="6" t="s">
        <v>196</v>
      </c>
      <c r="D44" s="7" t="s">
        <v>62</v>
      </c>
      <c r="E44" s="6" t="s">
        <v>83</v>
      </c>
      <c r="F44" s="6" t="s">
        <v>187</v>
      </c>
    </row>
    <row r="45" spans="1:6">
      <c r="A45" s="6" t="s">
        <v>197</v>
      </c>
      <c r="B45" s="6" t="s">
        <v>198</v>
      </c>
      <c r="C45" s="6" t="s">
        <v>199</v>
      </c>
      <c r="D45" s="7" t="s">
        <v>62</v>
      </c>
      <c r="E45" s="6" t="s">
        <v>83</v>
      </c>
      <c r="F45" s="6" t="s">
        <v>187</v>
      </c>
    </row>
    <row r="46" spans="1:6">
      <c r="A46" s="6" t="s">
        <v>200</v>
      </c>
      <c r="B46" s="6" t="s">
        <v>201</v>
      </c>
      <c r="C46" s="6" t="s">
        <v>202</v>
      </c>
      <c r="D46" s="7" t="s">
        <v>62</v>
      </c>
      <c r="E46" s="6" t="s">
        <v>83</v>
      </c>
      <c r="F46" s="6" t="s">
        <v>187</v>
      </c>
    </row>
    <row r="47" spans="1:6">
      <c r="A47" s="6" t="s">
        <v>203</v>
      </c>
      <c r="B47" s="6" t="s">
        <v>204</v>
      </c>
      <c r="C47" s="6" t="s">
        <v>205</v>
      </c>
      <c r="D47" s="7" t="s">
        <v>62</v>
      </c>
      <c r="E47" s="6" t="s">
        <v>83</v>
      </c>
      <c r="F47" s="6" t="s">
        <v>187</v>
      </c>
    </row>
    <row r="48" spans="1:6">
      <c r="A48" s="6" t="s">
        <v>206</v>
      </c>
      <c r="B48" s="6" t="s">
        <v>207</v>
      </c>
      <c r="C48" s="6" t="s">
        <v>208</v>
      </c>
      <c r="D48" s="7" t="s">
        <v>62</v>
      </c>
      <c r="E48" s="6" t="s">
        <v>83</v>
      </c>
      <c r="F48" s="6" t="s">
        <v>187</v>
      </c>
    </row>
    <row r="49" spans="1:6">
      <c r="A49" s="6" t="s">
        <v>209</v>
      </c>
      <c r="B49" s="6" t="s">
        <v>210</v>
      </c>
      <c r="C49" s="6" t="s">
        <v>211</v>
      </c>
      <c r="D49" s="8" t="s">
        <v>212</v>
      </c>
      <c r="E49" s="6" t="s">
        <v>213</v>
      </c>
      <c r="F49" s="6" t="s">
        <v>24</v>
      </c>
    </row>
    <row r="50" spans="1:6">
      <c r="A50" s="6" t="s">
        <v>214</v>
      </c>
      <c r="B50" s="6" t="s">
        <v>215</v>
      </c>
      <c r="C50" s="6" t="s">
        <v>216</v>
      </c>
      <c r="D50" s="8" t="s">
        <v>212</v>
      </c>
      <c r="E50" s="6" t="s">
        <v>213</v>
      </c>
      <c r="F50" s="6" t="s">
        <v>24</v>
      </c>
    </row>
    <row r="51" spans="1:6">
      <c r="A51" s="6" t="s">
        <v>217</v>
      </c>
      <c r="B51" s="6" t="s">
        <v>218</v>
      </c>
      <c r="C51" s="6" t="s">
        <v>219</v>
      </c>
      <c r="D51" s="8" t="s">
        <v>212</v>
      </c>
      <c r="E51" s="6" t="s">
        <v>213</v>
      </c>
      <c r="F51" s="6" t="s">
        <v>24</v>
      </c>
    </row>
    <row r="52" spans="1:6">
      <c r="A52" s="6" t="s">
        <v>220</v>
      </c>
      <c r="B52" s="6" t="s">
        <v>221</v>
      </c>
      <c r="C52" s="6" t="s">
        <v>222</v>
      </c>
      <c r="D52" s="8" t="s">
        <v>212</v>
      </c>
      <c r="E52" s="6" t="s">
        <v>213</v>
      </c>
      <c r="F52" s="6" t="s">
        <v>24</v>
      </c>
    </row>
    <row r="53" spans="1:6">
      <c r="A53" s="6" t="s">
        <v>223</v>
      </c>
      <c r="B53" s="6" t="s">
        <v>224</v>
      </c>
      <c r="C53" s="6" t="s">
        <v>225</v>
      </c>
      <c r="D53" s="8" t="s">
        <v>212</v>
      </c>
      <c r="E53" s="6" t="s">
        <v>213</v>
      </c>
      <c r="F53" s="6" t="s">
        <v>24</v>
      </c>
    </row>
    <row r="54" spans="1:6">
      <c r="A54" s="6" t="s">
        <v>226</v>
      </c>
      <c r="B54" s="6" t="s">
        <v>227</v>
      </c>
      <c r="C54" s="6" t="s">
        <v>228</v>
      </c>
      <c r="D54" s="8" t="s">
        <v>212</v>
      </c>
      <c r="E54" s="6" t="s">
        <v>213</v>
      </c>
      <c r="F54" s="6" t="s">
        <v>24</v>
      </c>
    </row>
    <row r="55" spans="1:6">
      <c r="A55" s="6" t="s">
        <v>229</v>
      </c>
      <c r="B55" s="6" t="s">
        <v>230</v>
      </c>
      <c r="C55" s="6" t="s">
        <v>231</v>
      </c>
      <c r="D55" s="8" t="s">
        <v>212</v>
      </c>
      <c r="E55" s="6" t="s">
        <v>213</v>
      </c>
      <c r="F55" s="6" t="s">
        <v>24</v>
      </c>
    </row>
    <row r="56" spans="1:6">
      <c r="A56" s="6" t="s">
        <v>232</v>
      </c>
      <c r="B56" s="6" t="s">
        <v>233</v>
      </c>
      <c r="C56" s="6" t="s">
        <v>234</v>
      </c>
      <c r="D56" s="8" t="s">
        <v>212</v>
      </c>
      <c r="E56" s="6" t="s">
        <v>213</v>
      </c>
      <c r="F56" s="6" t="s">
        <v>24</v>
      </c>
    </row>
    <row r="57" spans="1:6">
      <c r="A57" s="6" t="s">
        <v>235</v>
      </c>
      <c r="B57" s="6" t="s">
        <v>236</v>
      </c>
      <c r="C57" s="6" t="s">
        <v>237</v>
      </c>
      <c r="D57" s="9" t="s">
        <v>238</v>
      </c>
      <c r="E57" s="6" t="s">
        <v>239</v>
      </c>
      <c r="F57" s="6" t="s">
        <v>26</v>
      </c>
    </row>
    <row r="58" spans="1:6">
      <c r="A58" s="6" t="s">
        <v>240</v>
      </c>
      <c r="B58" s="6" t="s">
        <v>241</v>
      </c>
      <c r="C58" s="6" t="s">
        <v>242</v>
      </c>
      <c r="D58" s="9" t="s">
        <v>238</v>
      </c>
      <c r="E58" s="6" t="s">
        <v>239</v>
      </c>
      <c r="F58" s="6" t="s">
        <v>26</v>
      </c>
    </row>
    <row r="59" spans="1:6">
      <c r="A59" s="6" t="s">
        <v>243</v>
      </c>
      <c r="B59" s="6" t="s">
        <v>244</v>
      </c>
      <c r="C59" s="6" t="s">
        <v>245</v>
      </c>
      <c r="D59" s="9" t="s">
        <v>238</v>
      </c>
      <c r="E59" s="6" t="s">
        <v>239</v>
      </c>
      <c r="F59" s="6" t="s">
        <v>26</v>
      </c>
    </row>
    <row r="60" spans="1:6">
      <c r="A60" s="6" t="s">
        <v>246</v>
      </c>
      <c r="B60" s="6" t="s">
        <v>247</v>
      </c>
      <c r="C60" s="6" t="s">
        <v>248</v>
      </c>
      <c r="D60" s="9" t="s">
        <v>238</v>
      </c>
      <c r="E60" s="6" t="s">
        <v>239</v>
      </c>
      <c r="F60" s="6" t="s">
        <v>26</v>
      </c>
    </row>
    <row r="62" spans="1:6">
      <c r="A62" s="3" t="s">
        <v>249</v>
      </c>
      <c r="B62" s="10">
        <f>COUNTA(A2:A60)</f>
        <v/>
      </c>
    </row>
    <row r="63" spans="1:6">
      <c r="A63" s="3" t="s">
        <v>250</v>
      </c>
      <c r="B63" s="11">
        <f>COUNTIF(D2:D60,"P0")</f>
        <v/>
      </c>
    </row>
    <row r="64" spans="1:6">
      <c r="A64" s="3" t="s">
        <v>251</v>
      </c>
      <c r="B64" s="11">
        <f>COUNTIF(D2:D60,"P1")</f>
        <v/>
      </c>
    </row>
    <row r="65" spans="1:6">
      <c r="A65" s="3" t="s">
        <v>252</v>
      </c>
      <c r="B65" s="11">
        <f>COUNTIF(D2:D60,"P2")</f>
        <v/>
      </c>
    </row>
  </sheetData>
  <autoFilter ref="A1:F60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activePane="bottomRight" state="frozen" topLeftCell="C4" xSplit="2" ySplit="3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12"/>
    <col customWidth="1" max="2" min="2" width="22"/>
    <col customWidth="1" max="3" min="3" width="38"/>
    <col customWidth="1" max="4" min="4" width="32"/>
    <col customWidth="1" max="5" min="5" width="45"/>
    <col customWidth="1" max="6" min="6" width="28"/>
    <col customWidth="1" max="7" min="7" width="38"/>
    <col customWidth="1" max="8" min="8" width="22"/>
    <col customWidth="1" max="9" min="9" width="30"/>
  </cols>
  <sheetData>
    <row r="1" spans="1:9">
      <c r="A1" s="12" t="s">
        <v>253</v>
      </c>
    </row>
    <row customHeight="1" ht="28" r="3" spans="1:9">
      <c r="A3" s="5" t="s">
        <v>53</v>
      </c>
      <c r="B3" s="5" t="s">
        <v>54</v>
      </c>
      <c r="C3" s="5" t="s">
        <v>254</v>
      </c>
      <c r="D3" s="5" t="s">
        <v>255</v>
      </c>
      <c r="E3" s="5" t="s">
        <v>256</v>
      </c>
      <c r="F3" s="5" t="s">
        <v>257</v>
      </c>
      <c r="G3" s="5" t="s">
        <v>258</v>
      </c>
      <c r="H3" s="5" t="s">
        <v>259</v>
      </c>
      <c r="I3" s="5" t="s">
        <v>260</v>
      </c>
    </row>
    <row r="4" spans="1:9">
      <c r="A4" s="13" t="s">
        <v>59</v>
      </c>
      <c r="B4" s="14" t="s">
        <v>60</v>
      </c>
      <c r="C4" s="6" t="s">
        <v>261</v>
      </c>
      <c r="D4" s="6" t="s">
        <v>262</v>
      </c>
      <c r="E4" s="6" t="s">
        <v>263</v>
      </c>
      <c r="F4" s="6" t="s">
        <v>264</v>
      </c>
      <c r="G4" s="6" t="s">
        <v>265</v>
      </c>
      <c r="H4" s="6" t="s">
        <v>266</v>
      </c>
      <c r="I4" s="6" t="s">
        <v>267</v>
      </c>
    </row>
    <row r="5" spans="1:9">
      <c r="A5" s="13" t="s">
        <v>65</v>
      </c>
      <c r="B5" s="14" t="s">
        <v>66</v>
      </c>
      <c r="C5" s="6" t="s">
        <v>268</v>
      </c>
      <c r="D5" s="6" t="s">
        <v>269</v>
      </c>
      <c r="E5" s="6" t="s">
        <v>270</v>
      </c>
      <c r="F5" s="6" t="s">
        <v>271</v>
      </c>
      <c r="G5" s="6" t="s">
        <v>272</v>
      </c>
      <c r="H5" s="6" t="s">
        <v>273</v>
      </c>
      <c r="I5" s="6" t="s">
        <v>274</v>
      </c>
    </row>
    <row r="6" spans="1:9">
      <c r="A6" s="13" t="s">
        <v>68</v>
      </c>
      <c r="B6" s="14" t="s">
        <v>275</v>
      </c>
      <c r="C6" s="6" t="s">
        <v>276</v>
      </c>
      <c r="D6" s="6" t="s">
        <v>277</v>
      </c>
      <c r="E6" s="6" t="s">
        <v>278</v>
      </c>
      <c r="F6" s="6" t="s">
        <v>279</v>
      </c>
      <c r="G6" s="6" t="s">
        <v>280</v>
      </c>
      <c r="H6" s="6" t="s">
        <v>281</v>
      </c>
      <c r="I6" s="6" t="s">
        <v>282</v>
      </c>
    </row>
    <row r="7" spans="1:9">
      <c r="A7" s="13" t="s">
        <v>71</v>
      </c>
      <c r="B7" s="14" t="s">
        <v>72</v>
      </c>
      <c r="C7" s="6" t="s">
        <v>283</v>
      </c>
      <c r="D7" s="6" t="s">
        <v>284</v>
      </c>
      <c r="E7" s="6" t="s">
        <v>285</v>
      </c>
      <c r="F7" s="6" t="s">
        <v>286</v>
      </c>
      <c r="G7" s="6" t="s">
        <v>287</v>
      </c>
      <c r="H7" s="6" t="s">
        <v>288</v>
      </c>
      <c r="I7" s="6" t="s">
        <v>289</v>
      </c>
    </row>
    <row r="8" spans="1:9">
      <c r="A8" s="13" t="s">
        <v>74</v>
      </c>
      <c r="B8" s="14" t="s">
        <v>75</v>
      </c>
      <c r="C8" s="6" t="s">
        <v>290</v>
      </c>
      <c r="D8" s="6" t="s">
        <v>291</v>
      </c>
      <c r="E8" s="6" t="s">
        <v>292</v>
      </c>
      <c r="F8" s="6" t="s">
        <v>293</v>
      </c>
      <c r="G8" s="6" t="s">
        <v>294</v>
      </c>
      <c r="H8" s="6" t="s">
        <v>295</v>
      </c>
      <c r="I8" s="6" t="s">
        <v>296</v>
      </c>
    </row>
    <row r="9" spans="1:9">
      <c r="A9" s="13" t="s">
        <v>77</v>
      </c>
      <c r="B9" s="14" t="s">
        <v>78</v>
      </c>
      <c r="C9" s="6" t="s">
        <v>297</v>
      </c>
      <c r="D9" s="6" t="s">
        <v>298</v>
      </c>
      <c r="E9" s="6" t="s">
        <v>299</v>
      </c>
      <c r="F9" s="6" t="s">
        <v>300</v>
      </c>
      <c r="G9" s="6" t="s">
        <v>301</v>
      </c>
      <c r="H9" s="6" t="s">
        <v>302</v>
      </c>
      <c r="I9" s="6" t="s">
        <v>303</v>
      </c>
    </row>
    <row r="10" spans="1:9">
      <c r="A10" s="13" t="s">
        <v>80</v>
      </c>
      <c r="B10" s="14" t="s">
        <v>304</v>
      </c>
      <c r="C10" s="6" t="s">
        <v>305</v>
      </c>
      <c r="D10" s="6" t="s">
        <v>306</v>
      </c>
      <c r="E10" s="6" t="s">
        <v>307</v>
      </c>
      <c r="F10" s="6" t="s">
        <v>308</v>
      </c>
      <c r="G10" s="6" t="s">
        <v>309</v>
      </c>
      <c r="H10" s="6" t="s">
        <v>302</v>
      </c>
      <c r="I10" s="6" t="s">
        <v>310</v>
      </c>
    </row>
    <row r="11" spans="1:9">
      <c r="A11" s="13" t="s">
        <v>84</v>
      </c>
      <c r="B11" s="14" t="s">
        <v>85</v>
      </c>
      <c r="C11" s="6" t="s">
        <v>311</v>
      </c>
      <c r="D11" s="6" t="s">
        <v>312</v>
      </c>
      <c r="E11" s="6" t="s">
        <v>313</v>
      </c>
      <c r="F11" s="6" t="s">
        <v>314</v>
      </c>
      <c r="G11" s="6" t="s">
        <v>315</v>
      </c>
      <c r="H11" s="6" t="s">
        <v>316</v>
      </c>
      <c r="I11" s="6" t="s">
        <v>317</v>
      </c>
    </row>
  </sheetData>
  <mergeCells count="1">
    <mergeCell ref="A1:I1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activePane="bottomRight" state="frozen" topLeftCell="C4" xSplit="2" ySplit="3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12"/>
    <col customWidth="1" max="2" min="2" width="22"/>
    <col customWidth="1" max="3" min="3" width="38"/>
    <col customWidth="1" max="4" min="4" width="32"/>
    <col customWidth="1" max="5" min="5" width="45"/>
    <col customWidth="1" max="6" min="6" width="28"/>
    <col customWidth="1" max="7" min="7" width="38"/>
    <col customWidth="1" max="8" min="8" width="22"/>
    <col customWidth="1" max="9" min="9" width="30"/>
  </cols>
  <sheetData>
    <row r="1" spans="1:9">
      <c r="A1" s="12" t="s">
        <v>318</v>
      </c>
    </row>
    <row customHeight="1" ht="28" r="3" spans="1:9">
      <c r="A3" s="5" t="s">
        <v>53</v>
      </c>
      <c r="B3" s="5" t="s">
        <v>54</v>
      </c>
      <c r="C3" s="5" t="s">
        <v>254</v>
      </c>
      <c r="D3" s="5" t="s">
        <v>255</v>
      </c>
      <c r="E3" s="5" t="s">
        <v>256</v>
      </c>
      <c r="F3" s="5" t="s">
        <v>257</v>
      </c>
      <c r="G3" s="5" t="s">
        <v>258</v>
      </c>
      <c r="H3" s="5" t="s">
        <v>259</v>
      </c>
      <c r="I3" s="5" t="s">
        <v>260</v>
      </c>
    </row>
    <row r="4" spans="1:9">
      <c r="A4" s="13" t="s">
        <v>87</v>
      </c>
      <c r="B4" s="14" t="s">
        <v>88</v>
      </c>
      <c r="C4" s="6" t="s">
        <v>319</v>
      </c>
      <c r="D4" s="6" t="s">
        <v>320</v>
      </c>
      <c r="E4" s="6" t="s">
        <v>321</v>
      </c>
      <c r="F4" s="6" t="s">
        <v>322</v>
      </c>
      <c r="G4" s="6" t="s">
        <v>323</v>
      </c>
      <c r="H4" s="6" t="s">
        <v>324</v>
      </c>
      <c r="I4" s="6" t="s">
        <v>325</v>
      </c>
    </row>
    <row r="5" spans="1:9">
      <c r="A5" s="13" t="s">
        <v>91</v>
      </c>
      <c r="B5" s="14" t="s">
        <v>92</v>
      </c>
      <c r="C5" s="6" t="s">
        <v>326</v>
      </c>
      <c r="D5" s="6" t="s">
        <v>327</v>
      </c>
      <c r="E5" s="6" t="s">
        <v>328</v>
      </c>
      <c r="F5" s="6" t="s">
        <v>329</v>
      </c>
      <c r="G5" s="6" t="s">
        <v>330</v>
      </c>
      <c r="H5" s="6" t="s">
        <v>331</v>
      </c>
      <c r="I5" s="6" t="s">
        <v>332</v>
      </c>
    </row>
    <row r="6" spans="1:9">
      <c r="A6" s="13" t="s">
        <v>94</v>
      </c>
      <c r="B6" s="14" t="s">
        <v>95</v>
      </c>
      <c r="C6" s="6" t="s">
        <v>333</v>
      </c>
      <c r="D6" s="6" t="s">
        <v>334</v>
      </c>
      <c r="E6" s="6" t="s">
        <v>335</v>
      </c>
      <c r="F6" s="6" t="s">
        <v>336</v>
      </c>
      <c r="G6" s="6" t="s">
        <v>337</v>
      </c>
      <c r="H6" s="6" t="s">
        <v>331</v>
      </c>
      <c r="I6" s="6" t="s">
        <v>332</v>
      </c>
    </row>
    <row r="7" spans="1:9">
      <c r="A7" s="13" t="s">
        <v>97</v>
      </c>
      <c r="B7" s="14" t="s">
        <v>98</v>
      </c>
      <c r="C7" s="6" t="s">
        <v>338</v>
      </c>
      <c r="D7" s="6" t="s">
        <v>339</v>
      </c>
      <c r="E7" s="6" t="s">
        <v>340</v>
      </c>
      <c r="F7" s="6" t="s">
        <v>341</v>
      </c>
      <c r="G7" s="6" t="s">
        <v>342</v>
      </c>
      <c r="H7" s="6" t="s">
        <v>331</v>
      </c>
      <c r="I7" s="6" t="s">
        <v>332</v>
      </c>
    </row>
    <row r="8" spans="1:9">
      <c r="A8" s="13" t="s">
        <v>100</v>
      </c>
      <c r="B8" s="14" t="s">
        <v>101</v>
      </c>
      <c r="C8" s="6" t="s">
        <v>343</v>
      </c>
      <c r="D8" s="6" t="s">
        <v>344</v>
      </c>
      <c r="E8" s="6" t="s">
        <v>345</v>
      </c>
      <c r="F8" s="6" t="s">
        <v>346</v>
      </c>
      <c r="G8" s="6" t="s">
        <v>347</v>
      </c>
      <c r="H8" s="6" t="s">
        <v>348</v>
      </c>
      <c r="I8" s="6" t="s">
        <v>349</v>
      </c>
    </row>
    <row r="9" spans="1:9">
      <c r="A9" s="13" t="s">
        <v>103</v>
      </c>
      <c r="B9" s="14" t="s">
        <v>104</v>
      </c>
      <c r="C9" s="6" t="s">
        <v>350</v>
      </c>
      <c r="D9" s="6" t="s">
        <v>351</v>
      </c>
      <c r="E9" s="6" t="s">
        <v>352</v>
      </c>
      <c r="F9" s="6" t="s">
        <v>353</v>
      </c>
      <c r="G9" s="6" t="s">
        <v>354</v>
      </c>
      <c r="H9" s="6" t="s">
        <v>355</v>
      </c>
      <c r="I9" s="6" t="s">
        <v>356</v>
      </c>
    </row>
    <row r="10" spans="1:9">
      <c r="A10" s="13" t="s">
        <v>106</v>
      </c>
      <c r="B10" s="14" t="s">
        <v>107</v>
      </c>
      <c r="C10" s="6" t="s">
        <v>357</v>
      </c>
      <c r="D10" s="6" t="s">
        <v>358</v>
      </c>
      <c r="E10" s="6" t="s">
        <v>359</v>
      </c>
      <c r="F10" s="6" t="s">
        <v>360</v>
      </c>
      <c r="G10" s="6" t="s">
        <v>361</v>
      </c>
      <c r="H10" s="6" t="s">
        <v>331</v>
      </c>
      <c r="I10" s="6" t="s">
        <v>362</v>
      </c>
    </row>
  </sheetData>
  <mergeCells count="1">
    <mergeCell ref="A1:I1"/>
  </mergeCell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activePane="bottomRight" state="frozen" topLeftCell="C4" xSplit="2" ySplit="3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12"/>
    <col customWidth="1" max="2" min="2" width="22"/>
    <col customWidth="1" max="3" min="3" width="38"/>
    <col customWidth="1" max="4" min="4" width="32"/>
    <col customWidth="1" max="5" min="5" width="45"/>
    <col customWidth="1" max="6" min="6" width="28"/>
    <col customWidth="1" max="7" min="7" width="38"/>
    <col customWidth="1" max="8" min="8" width="22"/>
    <col customWidth="1" max="9" min="9" width="30"/>
  </cols>
  <sheetData>
    <row r="1" spans="1:9">
      <c r="A1" s="12" t="s">
        <v>363</v>
      </c>
    </row>
    <row customHeight="1" ht="28" r="3" spans="1:9">
      <c r="A3" s="5" t="s">
        <v>53</v>
      </c>
      <c r="B3" s="5" t="s">
        <v>54</v>
      </c>
      <c r="C3" s="5" t="s">
        <v>254</v>
      </c>
      <c r="D3" s="5" t="s">
        <v>255</v>
      </c>
      <c r="E3" s="5" t="s">
        <v>256</v>
      </c>
      <c r="F3" s="5" t="s">
        <v>257</v>
      </c>
      <c r="G3" s="5" t="s">
        <v>258</v>
      </c>
      <c r="H3" s="5" t="s">
        <v>259</v>
      </c>
      <c r="I3" s="5" t="s">
        <v>260</v>
      </c>
    </row>
    <row r="4" spans="1:9">
      <c r="A4" s="13" t="s">
        <v>109</v>
      </c>
      <c r="B4" s="14" t="s">
        <v>110</v>
      </c>
      <c r="C4" s="6" t="s">
        <v>364</v>
      </c>
      <c r="D4" s="6" t="s">
        <v>365</v>
      </c>
      <c r="E4" s="6" t="s">
        <v>366</v>
      </c>
      <c r="F4" s="6" t="s">
        <v>367</v>
      </c>
      <c r="G4" s="6" t="s">
        <v>368</v>
      </c>
      <c r="H4" s="6" t="s">
        <v>369</v>
      </c>
      <c r="I4" s="6" t="s">
        <v>370</v>
      </c>
    </row>
    <row r="5" spans="1:9">
      <c r="A5" s="13" t="s">
        <v>113</v>
      </c>
      <c r="B5" s="14" t="s">
        <v>114</v>
      </c>
      <c r="C5" s="6" t="s">
        <v>371</v>
      </c>
      <c r="D5" s="6" t="s">
        <v>372</v>
      </c>
      <c r="E5" s="6" t="s">
        <v>373</v>
      </c>
      <c r="F5" s="6" t="s">
        <v>374</v>
      </c>
      <c r="G5" s="6" t="s">
        <v>375</v>
      </c>
      <c r="H5" s="6" t="s">
        <v>376</v>
      </c>
      <c r="I5" s="6" t="s">
        <v>377</v>
      </c>
    </row>
    <row r="6" spans="1:9">
      <c r="A6" s="13" t="s">
        <v>116</v>
      </c>
      <c r="B6" s="14" t="s">
        <v>117</v>
      </c>
      <c r="C6" s="6" t="s">
        <v>378</v>
      </c>
      <c r="D6" s="6" t="s">
        <v>379</v>
      </c>
      <c r="E6" s="6" t="s">
        <v>380</v>
      </c>
      <c r="F6" s="6" t="s">
        <v>381</v>
      </c>
      <c r="G6" s="6" t="s">
        <v>382</v>
      </c>
      <c r="H6" s="6" t="s">
        <v>383</v>
      </c>
      <c r="I6" s="6" t="s">
        <v>384</v>
      </c>
    </row>
    <row r="7" spans="1:9">
      <c r="A7" s="13" t="s">
        <v>119</v>
      </c>
      <c r="B7" s="14" t="s">
        <v>120</v>
      </c>
      <c r="C7" s="6" t="s">
        <v>385</v>
      </c>
      <c r="D7" s="6" t="s">
        <v>386</v>
      </c>
      <c r="E7" s="6" t="s">
        <v>387</v>
      </c>
      <c r="F7" s="6" t="s">
        <v>388</v>
      </c>
      <c r="G7" s="6" t="s">
        <v>389</v>
      </c>
      <c r="H7" s="6" t="s">
        <v>390</v>
      </c>
      <c r="I7" s="6" t="s">
        <v>391</v>
      </c>
    </row>
    <row r="8" spans="1:9">
      <c r="A8" s="13" t="s">
        <v>122</v>
      </c>
      <c r="B8" s="14" t="s">
        <v>123</v>
      </c>
      <c r="C8" s="6" t="s">
        <v>392</v>
      </c>
      <c r="D8" s="6" t="s">
        <v>393</v>
      </c>
      <c r="E8" s="6" t="s">
        <v>394</v>
      </c>
      <c r="F8" s="6" t="s">
        <v>395</v>
      </c>
      <c r="G8" s="6" t="s">
        <v>396</v>
      </c>
      <c r="H8" s="6" t="s">
        <v>397</v>
      </c>
      <c r="I8" s="6" t="s">
        <v>398</v>
      </c>
    </row>
    <row r="9" spans="1:9">
      <c r="A9" s="13" t="s">
        <v>125</v>
      </c>
      <c r="B9" s="14" t="s">
        <v>126</v>
      </c>
      <c r="C9" s="6" t="s">
        <v>399</v>
      </c>
      <c r="D9" s="6" t="s">
        <v>400</v>
      </c>
      <c r="E9" s="6" t="s">
        <v>401</v>
      </c>
      <c r="F9" s="6" t="s">
        <v>402</v>
      </c>
      <c r="G9" s="6" t="s">
        <v>403</v>
      </c>
      <c r="H9" s="6" t="s">
        <v>404</v>
      </c>
      <c r="I9" s="6" t="s">
        <v>405</v>
      </c>
    </row>
    <row r="10" spans="1:9">
      <c r="A10" s="13" t="s">
        <v>128</v>
      </c>
      <c r="B10" s="14" t="s">
        <v>129</v>
      </c>
      <c r="C10" s="6" t="s">
        <v>406</v>
      </c>
      <c r="D10" s="6" t="s">
        <v>407</v>
      </c>
      <c r="E10" s="6" t="s">
        <v>408</v>
      </c>
      <c r="F10" s="6" t="s">
        <v>409</v>
      </c>
      <c r="G10" s="6" t="s">
        <v>410</v>
      </c>
      <c r="H10" s="6" t="s">
        <v>411</v>
      </c>
      <c r="I10" s="6" t="s">
        <v>412</v>
      </c>
    </row>
    <row r="11" spans="1:9">
      <c r="A11" s="13" t="s">
        <v>131</v>
      </c>
      <c r="B11" s="14" t="s">
        <v>132</v>
      </c>
      <c r="C11" s="6" t="s">
        <v>413</v>
      </c>
      <c r="D11" s="6" t="s">
        <v>414</v>
      </c>
      <c r="E11" s="6" t="s">
        <v>415</v>
      </c>
      <c r="F11" s="6" t="s">
        <v>416</v>
      </c>
      <c r="G11" s="6" t="s">
        <v>417</v>
      </c>
      <c r="H11" s="6" t="s">
        <v>418</v>
      </c>
      <c r="I11" s="6" t="s">
        <v>419</v>
      </c>
    </row>
    <row r="12" spans="1:9">
      <c r="A12" s="13" t="s">
        <v>134</v>
      </c>
      <c r="B12" s="14" t="s">
        <v>135</v>
      </c>
      <c r="C12" s="6" t="s">
        <v>420</v>
      </c>
      <c r="D12" s="6" t="s">
        <v>421</v>
      </c>
      <c r="E12" s="6" t="s">
        <v>422</v>
      </c>
      <c r="F12" s="6" t="s">
        <v>423</v>
      </c>
      <c r="G12" s="6" t="s">
        <v>424</v>
      </c>
      <c r="H12" s="6" t="s">
        <v>411</v>
      </c>
      <c r="I12" s="6" t="s">
        <v>425</v>
      </c>
    </row>
  </sheetData>
  <mergeCells count="1">
    <mergeCell ref="A1:I1"/>
  </mergeCells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activePane="bottomRight" state="frozen" topLeftCell="C4" xSplit="2" ySplit="3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12"/>
    <col customWidth="1" max="2" min="2" width="22"/>
    <col customWidth="1" max="3" min="3" width="38"/>
    <col customWidth="1" max="4" min="4" width="32"/>
    <col customWidth="1" max="5" min="5" width="45"/>
    <col customWidth="1" max="6" min="6" width="28"/>
    <col customWidth="1" max="7" min="7" width="38"/>
    <col customWidth="1" max="8" min="8" width="22"/>
    <col customWidth="1" max="9" min="9" width="30"/>
  </cols>
  <sheetData>
    <row r="1" spans="1:9">
      <c r="A1" s="12" t="s">
        <v>426</v>
      </c>
    </row>
    <row customHeight="1" ht="28" r="3" spans="1:9">
      <c r="A3" s="5" t="s">
        <v>53</v>
      </c>
      <c r="B3" s="5" t="s">
        <v>54</v>
      </c>
      <c r="C3" s="5" t="s">
        <v>254</v>
      </c>
      <c r="D3" s="5" t="s">
        <v>255</v>
      </c>
      <c r="E3" s="5" t="s">
        <v>256</v>
      </c>
      <c r="F3" s="5" t="s">
        <v>257</v>
      </c>
      <c r="G3" s="5" t="s">
        <v>258</v>
      </c>
      <c r="H3" s="5" t="s">
        <v>259</v>
      </c>
      <c r="I3" s="5" t="s">
        <v>260</v>
      </c>
    </row>
    <row r="4" spans="1:9">
      <c r="A4" s="13" t="s">
        <v>137</v>
      </c>
      <c r="B4" s="14" t="s">
        <v>138</v>
      </c>
      <c r="C4" s="6" t="s">
        <v>427</v>
      </c>
      <c r="D4" s="6" t="s">
        <v>428</v>
      </c>
      <c r="E4" s="6" t="s">
        <v>429</v>
      </c>
      <c r="F4" s="6" t="s">
        <v>430</v>
      </c>
      <c r="G4" s="6" t="s">
        <v>431</v>
      </c>
      <c r="H4" s="6" t="s">
        <v>432</v>
      </c>
      <c r="I4" s="6" t="s">
        <v>433</v>
      </c>
    </row>
    <row r="5" spans="1:9">
      <c r="A5" s="13" t="s">
        <v>141</v>
      </c>
      <c r="B5" s="14" t="s">
        <v>142</v>
      </c>
      <c r="C5" s="6" t="s">
        <v>434</v>
      </c>
      <c r="D5" s="6" t="s">
        <v>435</v>
      </c>
      <c r="E5" s="6" t="s">
        <v>436</v>
      </c>
      <c r="F5" s="6" t="s">
        <v>437</v>
      </c>
      <c r="G5" s="6" t="s">
        <v>438</v>
      </c>
      <c r="H5" s="6" t="s">
        <v>439</v>
      </c>
      <c r="I5" s="6" t="s">
        <v>440</v>
      </c>
    </row>
    <row r="6" spans="1:9">
      <c r="A6" s="13" t="s">
        <v>144</v>
      </c>
      <c r="B6" s="14" t="s">
        <v>441</v>
      </c>
      <c r="C6" s="6" t="s">
        <v>442</v>
      </c>
      <c r="D6" s="6" t="s">
        <v>443</v>
      </c>
      <c r="E6" s="6" t="s">
        <v>444</v>
      </c>
      <c r="F6" s="6" t="s">
        <v>445</v>
      </c>
      <c r="G6" s="6" t="s">
        <v>446</v>
      </c>
      <c r="H6" s="6" t="s">
        <v>447</v>
      </c>
      <c r="I6" s="6" t="s">
        <v>448</v>
      </c>
    </row>
    <row r="7" spans="1:9">
      <c r="A7" s="13" t="s">
        <v>147</v>
      </c>
      <c r="B7" s="14" t="s">
        <v>148</v>
      </c>
      <c r="C7" s="6" t="s">
        <v>449</v>
      </c>
      <c r="D7" s="6" t="s">
        <v>450</v>
      </c>
      <c r="E7" s="6" t="s">
        <v>451</v>
      </c>
      <c r="F7" s="6" t="s">
        <v>452</v>
      </c>
      <c r="G7" s="6" t="s">
        <v>453</v>
      </c>
      <c r="H7" s="6" t="s">
        <v>454</v>
      </c>
      <c r="I7" s="6" t="s">
        <v>455</v>
      </c>
    </row>
    <row r="8" spans="1:9">
      <c r="A8" s="13" t="s">
        <v>150</v>
      </c>
      <c r="B8" s="14" t="s">
        <v>151</v>
      </c>
      <c r="C8" s="6" t="s">
        <v>456</v>
      </c>
      <c r="D8" s="6" t="s">
        <v>457</v>
      </c>
      <c r="E8" s="6" t="s">
        <v>458</v>
      </c>
      <c r="F8" s="6" t="s">
        <v>459</v>
      </c>
      <c r="G8" s="6" t="s">
        <v>460</v>
      </c>
      <c r="H8" s="6" t="s">
        <v>461</v>
      </c>
      <c r="I8" s="6" t="s">
        <v>462</v>
      </c>
    </row>
    <row r="9" spans="1:9">
      <c r="A9" s="13" t="s">
        <v>153</v>
      </c>
      <c r="B9" s="14" t="s">
        <v>154</v>
      </c>
      <c r="C9" s="6" t="s">
        <v>463</v>
      </c>
      <c r="D9" s="6" t="s">
        <v>464</v>
      </c>
      <c r="E9" s="6" t="s">
        <v>465</v>
      </c>
      <c r="F9" s="6" t="s">
        <v>466</v>
      </c>
      <c r="G9" s="6" t="s">
        <v>467</v>
      </c>
      <c r="H9" s="6" t="s">
        <v>468</v>
      </c>
      <c r="I9" s="6" t="s">
        <v>469</v>
      </c>
    </row>
    <row r="10" spans="1:9">
      <c r="A10" s="13" t="s">
        <v>156</v>
      </c>
      <c r="B10" s="14" t="s">
        <v>157</v>
      </c>
      <c r="C10" s="6" t="s">
        <v>470</v>
      </c>
      <c r="D10" s="6" t="s">
        <v>471</v>
      </c>
      <c r="E10" s="6" t="s">
        <v>472</v>
      </c>
      <c r="F10" s="6" t="s">
        <v>473</v>
      </c>
      <c r="G10" s="6" t="s">
        <v>474</v>
      </c>
      <c r="H10" s="6" t="s">
        <v>475</v>
      </c>
      <c r="I10" s="6" t="s">
        <v>476</v>
      </c>
    </row>
    <row r="11" spans="1:9">
      <c r="A11" s="13" t="s">
        <v>159</v>
      </c>
      <c r="B11" s="14" t="s">
        <v>160</v>
      </c>
      <c r="C11" s="6" t="s">
        <v>477</v>
      </c>
      <c r="D11" s="6" t="s">
        <v>478</v>
      </c>
      <c r="E11" s="6" t="s">
        <v>479</v>
      </c>
      <c r="F11" s="6" t="s">
        <v>480</v>
      </c>
      <c r="G11" s="6" t="s">
        <v>481</v>
      </c>
      <c r="H11" s="6" t="s">
        <v>482</v>
      </c>
      <c r="I11" s="6" t="s">
        <v>483</v>
      </c>
    </row>
  </sheetData>
  <mergeCells count="1">
    <mergeCell ref="A1:I1"/>
  </mergeCells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activePane="bottomRight" state="frozen" topLeftCell="C4" xSplit="2" ySplit="3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12"/>
    <col customWidth="1" max="2" min="2" width="22"/>
    <col customWidth="1" max="3" min="3" width="38"/>
    <col customWidth="1" max="4" min="4" width="32"/>
    <col customWidth="1" max="5" min="5" width="45"/>
    <col customWidth="1" max="6" min="6" width="28"/>
    <col customWidth="1" max="7" min="7" width="38"/>
    <col customWidth="1" max="8" min="8" width="22"/>
    <col customWidth="1" max="9" min="9" width="30"/>
  </cols>
  <sheetData>
    <row r="1" spans="1:9">
      <c r="A1" s="12" t="s">
        <v>484</v>
      </c>
    </row>
    <row customHeight="1" ht="28" r="3" spans="1:9">
      <c r="A3" s="5" t="s">
        <v>53</v>
      </c>
      <c r="B3" s="5" t="s">
        <v>54</v>
      </c>
      <c r="C3" s="5" t="s">
        <v>254</v>
      </c>
      <c r="D3" s="5" t="s">
        <v>255</v>
      </c>
      <c r="E3" s="5" t="s">
        <v>256</v>
      </c>
      <c r="F3" s="5" t="s">
        <v>257</v>
      </c>
      <c r="G3" s="5" t="s">
        <v>258</v>
      </c>
      <c r="H3" s="5" t="s">
        <v>259</v>
      </c>
      <c r="I3" s="5" t="s">
        <v>260</v>
      </c>
    </row>
    <row r="4" spans="1:9">
      <c r="A4" s="13" t="s">
        <v>162</v>
      </c>
      <c r="B4" s="14" t="s">
        <v>485</v>
      </c>
      <c r="C4" s="6" t="s">
        <v>486</v>
      </c>
      <c r="D4" s="6" t="s">
        <v>487</v>
      </c>
      <c r="E4" s="6" t="s">
        <v>488</v>
      </c>
      <c r="F4" s="6" t="s">
        <v>489</v>
      </c>
      <c r="G4" s="6" t="s">
        <v>490</v>
      </c>
      <c r="H4" s="6" t="s">
        <v>491</v>
      </c>
      <c r="I4" s="6" t="s">
        <v>492</v>
      </c>
    </row>
    <row r="5" spans="1:9">
      <c r="A5" s="13" t="s">
        <v>166</v>
      </c>
      <c r="B5" s="14" t="s">
        <v>167</v>
      </c>
      <c r="C5" s="6" t="s">
        <v>493</v>
      </c>
      <c r="D5" s="6" t="s">
        <v>494</v>
      </c>
      <c r="E5" s="6" t="s">
        <v>495</v>
      </c>
      <c r="F5" s="6" t="s">
        <v>496</v>
      </c>
      <c r="G5" s="6" t="s">
        <v>497</v>
      </c>
      <c r="H5" s="6" t="s">
        <v>498</v>
      </c>
      <c r="I5" s="6" t="s">
        <v>499</v>
      </c>
    </row>
    <row r="6" spans="1:9">
      <c r="A6" s="13" t="s">
        <v>169</v>
      </c>
      <c r="B6" s="14" t="s">
        <v>500</v>
      </c>
      <c r="C6" s="6" t="s">
        <v>501</v>
      </c>
      <c r="D6" s="6" t="s">
        <v>502</v>
      </c>
      <c r="E6" s="6" t="s">
        <v>503</v>
      </c>
      <c r="F6" s="6" t="s">
        <v>504</v>
      </c>
      <c r="G6" s="6" t="s">
        <v>505</v>
      </c>
      <c r="H6" s="6" t="s">
        <v>506</v>
      </c>
      <c r="I6" s="6" t="s">
        <v>507</v>
      </c>
    </row>
    <row r="7" spans="1:9">
      <c r="A7" s="13" t="s">
        <v>172</v>
      </c>
      <c r="B7" s="14" t="s">
        <v>173</v>
      </c>
      <c r="C7" s="6" t="s">
        <v>508</v>
      </c>
      <c r="D7" s="6" t="s">
        <v>509</v>
      </c>
      <c r="E7" s="6" t="s">
        <v>510</v>
      </c>
      <c r="F7" s="6" t="s">
        <v>511</v>
      </c>
      <c r="G7" s="6" t="s">
        <v>512</v>
      </c>
      <c r="H7" s="6" t="s">
        <v>513</v>
      </c>
      <c r="I7" s="6" t="s">
        <v>514</v>
      </c>
    </row>
    <row r="8" spans="1:9">
      <c r="A8" s="13" t="s">
        <v>175</v>
      </c>
      <c r="B8" s="14" t="s">
        <v>176</v>
      </c>
      <c r="C8" s="6" t="s">
        <v>515</v>
      </c>
      <c r="D8" s="6" t="s">
        <v>516</v>
      </c>
      <c r="E8" s="6" t="s">
        <v>517</v>
      </c>
      <c r="F8" s="6" t="s">
        <v>518</v>
      </c>
      <c r="G8" s="6" t="s">
        <v>519</v>
      </c>
      <c r="H8" s="6" t="s">
        <v>520</v>
      </c>
      <c r="I8" s="6" t="s">
        <v>521</v>
      </c>
    </row>
    <row r="9" spans="1:9">
      <c r="A9" s="13" t="s">
        <v>178</v>
      </c>
      <c r="B9" s="14" t="s">
        <v>522</v>
      </c>
      <c r="C9" s="6" t="s">
        <v>523</v>
      </c>
      <c r="D9" s="6" t="s">
        <v>524</v>
      </c>
      <c r="E9" s="6" t="s">
        <v>525</v>
      </c>
      <c r="F9" s="6" t="s">
        <v>526</v>
      </c>
      <c r="G9" s="6" t="s">
        <v>527</v>
      </c>
      <c r="H9" s="6" t="s">
        <v>520</v>
      </c>
      <c r="I9" s="6" t="s">
        <v>528</v>
      </c>
    </row>
    <row r="10" spans="1:9">
      <c r="A10" s="13" t="s">
        <v>181</v>
      </c>
      <c r="B10" s="14" t="s">
        <v>182</v>
      </c>
      <c r="C10" s="6" t="s">
        <v>529</v>
      </c>
      <c r="D10" s="6" t="s">
        <v>530</v>
      </c>
      <c r="E10" s="6" t="s">
        <v>531</v>
      </c>
      <c r="F10" s="6" t="s">
        <v>532</v>
      </c>
      <c r="G10" s="6" t="s">
        <v>533</v>
      </c>
      <c r="H10" s="6" t="s">
        <v>534</v>
      </c>
      <c r="I10" s="6" t="s">
        <v>535</v>
      </c>
    </row>
  </sheetData>
  <mergeCells count="1">
    <mergeCell ref="A1:I1"/>
  </mergeCells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activePane="bottomRight" state="frozen" topLeftCell="C4" xSplit="2" ySplit="3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12"/>
    <col customWidth="1" max="2" min="2" width="22"/>
    <col customWidth="1" max="3" min="3" width="38"/>
    <col customWidth="1" max="4" min="4" width="32"/>
    <col customWidth="1" max="5" min="5" width="45"/>
    <col customWidth="1" max="6" min="6" width="28"/>
    <col customWidth="1" max="7" min="7" width="38"/>
    <col customWidth="1" max="8" min="8" width="22"/>
    <col customWidth="1" max="9" min="9" width="30"/>
  </cols>
  <sheetData>
    <row r="1" spans="1:9">
      <c r="A1" s="12" t="s">
        <v>536</v>
      </c>
    </row>
    <row customHeight="1" ht="28" r="3" spans="1:9">
      <c r="A3" s="5" t="s">
        <v>53</v>
      </c>
      <c r="B3" s="5" t="s">
        <v>54</v>
      </c>
      <c r="C3" s="5" t="s">
        <v>254</v>
      </c>
      <c r="D3" s="5" t="s">
        <v>255</v>
      </c>
      <c r="E3" s="5" t="s">
        <v>256</v>
      </c>
      <c r="F3" s="5" t="s">
        <v>257</v>
      </c>
      <c r="G3" s="5" t="s">
        <v>258</v>
      </c>
      <c r="H3" s="5" t="s">
        <v>259</v>
      </c>
      <c r="I3" s="5" t="s">
        <v>260</v>
      </c>
    </row>
    <row r="4" spans="1:9">
      <c r="A4" s="13" t="s">
        <v>184</v>
      </c>
      <c r="B4" s="14" t="s">
        <v>537</v>
      </c>
      <c r="C4" s="6" t="s">
        <v>538</v>
      </c>
      <c r="D4" s="6" t="s">
        <v>539</v>
      </c>
      <c r="E4" s="6" t="s">
        <v>540</v>
      </c>
      <c r="F4" s="6" t="s">
        <v>541</v>
      </c>
      <c r="G4" s="6" t="s">
        <v>542</v>
      </c>
      <c r="H4" s="6" t="s">
        <v>543</v>
      </c>
      <c r="I4" s="6" t="s">
        <v>544</v>
      </c>
    </row>
    <row r="5" spans="1:9">
      <c r="A5" s="13" t="s">
        <v>188</v>
      </c>
      <c r="B5" s="14" t="s">
        <v>545</v>
      </c>
      <c r="C5" s="6" t="s">
        <v>546</v>
      </c>
      <c r="D5" s="6" t="s">
        <v>450</v>
      </c>
      <c r="E5" s="6" t="s">
        <v>547</v>
      </c>
      <c r="F5" s="6" t="s">
        <v>548</v>
      </c>
      <c r="G5" s="6" t="s">
        <v>549</v>
      </c>
      <c r="H5" s="6" t="s">
        <v>550</v>
      </c>
      <c r="I5" s="6" t="s">
        <v>551</v>
      </c>
    </row>
    <row r="6" spans="1:9">
      <c r="A6" s="13" t="s">
        <v>191</v>
      </c>
      <c r="B6" s="14" t="s">
        <v>552</v>
      </c>
      <c r="C6" s="6" t="s">
        <v>553</v>
      </c>
      <c r="D6" s="6" t="s">
        <v>554</v>
      </c>
      <c r="E6" s="6" t="s">
        <v>555</v>
      </c>
      <c r="F6" s="6" t="s">
        <v>556</v>
      </c>
      <c r="G6" s="6" t="s">
        <v>557</v>
      </c>
      <c r="H6" s="6" t="s">
        <v>558</v>
      </c>
      <c r="I6" s="6" t="s">
        <v>559</v>
      </c>
    </row>
    <row r="7" spans="1:9">
      <c r="A7" s="13" t="s">
        <v>194</v>
      </c>
      <c r="B7" s="14" t="s">
        <v>195</v>
      </c>
      <c r="C7" s="6" t="s">
        <v>560</v>
      </c>
      <c r="D7" s="6" t="s">
        <v>561</v>
      </c>
      <c r="E7" s="6" t="s">
        <v>562</v>
      </c>
      <c r="F7" s="6" t="s">
        <v>563</v>
      </c>
      <c r="G7" s="6" t="s">
        <v>564</v>
      </c>
      <c r="H7" s="6" t="s">
        <v>565</v>
      </c>
      <c r="I7" s="6" t="s">
        <v>566</v>
      </c>
    </row>
    <row r="8" spans="1:9">
      <c r="A8" s="13" t="s">
        <v>197</v>
      </c>
      <c r="B8" s="14" t="s">
        <v>567</v>
      </c>
      <c r="C8" s="6" t="s">
        <v>568</v>
      </c>
      <c r="D8" s="6" t="s">
        <v>569</v>
      </c>
      <c r="E8" s="6" t="s">
        <v>570</v>
      </c>
      <c r="F8" s="6" t="s">
        <v>571</v>
      </c>
      <c r="G8" s="6" t="s">
        <v>572</v>
      </c>
      <c r="H8" s="6" t="s">
        <v>573</v>
      </c>
      <c r="I8" s="6" t="s">
        <v>574</v>
      </c>
    </row>
    <row r="9" spans="1:9">
      <c r="A9" s="13" t="s">
        <v>200</v>
      </c>
      <c r="B9" s="14" t="s">
        <v>201</v>
      </c>
      <c r="C9" s="6" t="s">
        <v>575</v>
      </c>
      <c r="D9" s="6" t="s">
        <v>576</v>
      </c>
      <c r="E9" s="6" t="s">
        <v>577</v>
      </c>
      <c r="F9" s="6" t="s">
        <v>578</v>
      </c>
      <c r="G9" s="6" t="s">
        <v>579</v>
      </c>
      <c r="H9" s="6" t="s">
        <v>580</v>
      </c>
      <c r="I9" s="6" t="s">
        <v>581</v>
      </c>
    </row>
    <row r="10" spans="1:9">
      <c r="A10" s="13" t="s">
        <v>203</v>
      </c>
      <c r="B10" s="14" t="s">
        <v>204</v>
      </c>
      <c r="C10" s="6" t="s">
        <v>582</v>
      </c>
      <c r="D10" s="6" t="s">
        <v>583</v>
      </c>
      <c r="E10" s="6" t="s">
        <v>584</v>
      </c>
      <c r="F10" s="6" t="s">
        <v>585</v>
      </c>
      <c r="G10" s="6" t="s">
        <v>586</v>
      </c>
      <c r="H10" s="6" t="s">
        <v>587</v>
      </c>
      <c r="I10" s="6" t="s">
        <v>588</v>
      </c>
    </row>
    <row r="11" spans="1:9">
      <c r="A11" s="13" t="s">
        <v>206</v>
      </c>
      <c r="B11" s="14" t="s">
        <v>589</v>
      </c>
      <c r="C11" s="6" t="s">
        <v>590</v>
      </c>
      <c r="D11" s="6" t="s">
        <v>591</v>
      </c>
      <c r="E11" s="6" t="s">
        <v>592</v>
      </c>
      <c r="F11" s="6" t="s">
        <v>593</v>
      </c>
      <c r="G11" s="6" t="s">
        <v>594</v>
      </c>
      <c r="H11" s="6" t="s">
        <v>595</v>
      </c>
      <c r="I11" s="6" t="s">
        <v>596</v>
      </c>
    </row>
  </sheetData>
  <mergeCells count="1">
    <mergeCell ref="A1:I1"/>
  </mergeCells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 outlineLevelCol="0"/>
  <cols>
    <col customWidth="1" max="1" min="1" width="12"/>
    <col customWidth="1" max="2" min="2" width="12"/>
    <col customWidth="1" max="3" min="3" width="28"/>
    <col customWidth="1" max="4" min="4" width="50"/>
    <col customWidth="1" max="5" min="5" width="50"/>
    <col customWidth="1" max="6" min="6" width="32"/>
  </cols>
  <sheetData>
    <row r="1" spans="1:6">
      <c r="A1" s="12" t="s">
        <v>597</v>
      </c>
    </row>
    <row r="2" spans="1:6">
      <c r="A2" s="15" t="s">
        <v>598</v>
      </c>
    </row>
    <row r="4" spans="1:6">
      <c r="A4" s="5" t="s">
        <v>599</v>
      </c>
      <c r="B4" s="5" t="s">
        <v>53</v>
      </c>
      <c r="C4" s="5" t="s">
        <v>54</v>
      </c>
      <c r="D4" s="5" t="s">
        <v>254</v>
      </c>
      <c r="E4" s="5" t="s">
        <v>260</v>
      </c>
      <c r="F4" s="5" t="s">
        <v>259</v>
      </c>
    </row>
    <row r="5" spans="1:6">
      <c r="A5" s="16" t="s">
        <v>600</v>
      </c>
      <c r="B5" s="14" t="s">
        <v>209</v>
      </c>
      <c r="C5" s="6" t="s">
        <v>210</v>
      </c>
      <c r="D5" s="6" t="s">
        <v>601</v>
      </c>
      <c r="E5" s="6" t="s">
        <v>602</v>
      </c>
      <c r="F5" s="6" t="s">
        <v>603</v>
      </c>
    </row>
    <row r="6" spans="1:6">
      <c r="A6" s="16" t="s">
        <v>600</v>
      </c>
      <c r="B6" s="14" t="s">
        <v>214</v>
      </c>
      <c r="C6" s="6" t="s">
        <v>215</v>
      </c>
      <c r="D6" s="6" t="s">
        <v>604</v>
      </c>
      <c r="E6" s="6" t="s">
        <v>605</v>
      </c>
      <c r="F6" s="6" t="s">
        <v>606</v>
      </c>
    </row>
    <row r="7" spans="1:6">
      <c r="A7" s="16" t="s">
        <v>600</v>
      </c>
      <c r="B7" s="14" t="s">
        <v>217</v>
      </c>
      <c r="C7" s="6" t="s">
        <v>607</v>
      </c>
      <c r="D7" s="6" t="s">
        <v>608</v>
      </c>
      <c r="E7" s="6" t="s">
        <v>609</v>
      </c>
      <c r="F7" s="6" t="s">
        <v>610</v>
      </c>
    </row>
    <row r="8" spans="1:6">
      <c r="A8" s="16" t="s">
        <v>600</v>
      </c>
      <c r="B8" s="14" t="s">
        <v>220</v>
      </c>
      <c r="C8" s="6" t="s">
        <v>611</v>
      </c>
      <c r="D8" s="6" t="s">
        <v>612</v>
      </c>
      <c r="E8" s="6" t="s">
        <v>613</v>
      </c>
      <c r="F8" s="6" t="s">
        <v>614</v>
      </c>
    </row>
    <row r="9" spans="1:6">
      <c r="A9" s="16" t="s">
        <v>600</v>
      </c>
      <c r="B9" s="14" t="s">
        <v>223</v>
      </c>
      <c r="C9" s="6" t="s">
        <v>224</v>
      </c>
      <c r="D9" s="6" t="s">
        <v>615</v>
      </c>
      <c r="E9" s="6" t="s">
        <v>616</v>
      </c>
      <c r="F9" s="6" t="s">
        <v>617</v>
      </c>
    </row>
    <row r="10" spans="1:6">
      <c r="A10" s="16" t="s">
        <v>600</v>
      </c>
      <c r="B10" s="14" t="s">
        <v>226</v>
      </c>
      <c r="C10" s="6" t="s">
        <v>227</v>
      </c>
      <c r="D10" s="6" t="s">
        <v>618</v>
      </c>
      <c r="E10" s="6" t="s">
        <v>619</v>
      </c>
      <c r="F10" s="6" t="s">
        <v>620</v>
      </c>
    </row>
    <row r="11" spans="1:6">
      <c r="A11" s="16" t="s">
        <v>600</v>
      </c>
      <c r="B11" s="14" t="s">
        <v>229</v>
      </c>
      <c r="C11" s="6" t="s">
        <v>230</v>
      </c>
      <c r="D11" s="6" t="s">
        <v>621</v>
      </c>
      <c r="E11" s="6" t="s">
        <v>622</v>
      </c>
      <c r="F11" s="6" t="s">
        <v>623</v>
      </c>
    </row>
    <row r="12" spans="1:6">
      <c r="A12" s="16" t="s">
        <v>600</v>
      </c>
      <c r="B12" s="14" t="s">
        <v>232</v>
      </c>
      <c r="C12" s="6" t="s">
        <v>233</v>
      </c>
      <c r="D12" s="6" t="s">
        <v>624</v>
      </c>
      <c r="E12" s="6" t="s">
        <v>625</v>
      </c>
      <c r="F12" s="6" t="s">
        <v>626</v>
      </c>
    </row>
    <row r="13" spans="1:6">
      <c r="A13" s="17" t="s">
        <v>627</v>
      </c>
      <c r="B13" s="14" t="s">
        <v>235</v>
      </c>
      <c r="C13" s="6" t="s">
        <v>236</v>
      </c>
      <c r="D13" s="6" t="s">
        <v>628</v>
      </c>
      <c r="E13" s="6" t="s">
        <v>629</v>
      </c>
      <c r="F13" s="6" t="s">
        <v>630</v>
      </c>
    </row>
    <row r="14" spans="1:6">
      <c r="A14" s="17" t="s">
        <v>627</v>
      </c>
      <c r="B14" s="14" t="s">
        <v>240</v>
      </c>
      <c r="C14" s="6" t="s">
        <v>241</v>
      </c>
      <c r="D14" s="6" t="s">
        <v>631</v>
      </c>
      <c r="E14" s="6" t="s">
        <v>632</v>
      </c>
      <c r="F14" s="6" t="s">
        <v>633</v>
      </c>
    </row>
    <row r="15" spans="1:6">
      <c r="A15" s="17" t="s">
        <v>627</v>
      </c>
      <c r="B15" s="14" t="s">
        <v>243</v>
      </c>
      <c r="C15" s="6" t="s">
        <v>244</v>
      </c>
      <c r="D15" s="6" t="s">
        <v>634</v>
      </c>
      <c r="E15" s="6" t="s">
        <v>635</v>
      </c>
      <c r="F15" s="6" t="s">
        <v>636</v>
      </c>
    </row>
    <row r="16" spans="1:6">
      <c r="A16" s="17" t="s">
        <v>627</v>
      </c>
      <c r="B16" s="14" t="s">
        <v>246</v>
      </c>
      <c r="C16" s="6" t="s">
        <v>247</v>
      </c>
      <c r="D16" s="6" t="s">
        <v>637</v>
      </c>
      <c r="E16" s="6" t="s">
        <v>638</v>
      </c>
      <c r="F16" s="6" t="s">
        <v>639</v>
      </c>
    </row>
  </sheetData>
  <mergeCells count="2">
    <mergeCell ref="A1:E1"/>
    <mergeCell ref="A2:E2"/>
  </mergeCells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 outlineLevelCol="0"/>
  <cols>
    <col customWidth="1" max="1" min="1" width="12"/>
    <col customWidth="1" max="2" min="2" width="18"/>
    <col customWidth="1" max="3" min="3" width="35"/>
    <col customWidth="1" max="4" min="4" width="30"/>
  </cols>
  <sheetData>
    <row r="1" spans="1:4">
      <c r="A1" s="12" t="s">
        <v>640</v>
      </c>
    </row>
    <row r="3" spans="1:4">
      <c r="A3" s="18" t="s">
        <v>641</v>
      </c>
    </row>
    <row r="4" spans="1:4">
      <c r="A4" s="5" t="s">
        <v>642</v>
      </c>
      <c r="B4" s="5" t="s">
        <v>16</v>
      </c>
      <c r="C4" s="5" t="s">
        <v>643</v>
      </c>
      <c r="D4" s="5" t="s">
        <v>644</v>
      </c>
    </row>
    <row r="5" spans="1:4">
      <c r="A5" s="6" t="s">
        <v>645</v>
      </c>
      <c r="B5" s="14" t="s">
        <v>646</v>
      </c>
      <c r="C5" s="6" t="s">
        <v>647</v>
      </c>
      <c r="D5" s="6" t="s">
        <v>648</v>
      </c>
    </row>
    <row r="6" spans="1:4">
      <c r="A6" s="6" t="s">
        <v>645</v>
      </c>
      <c r="B6" s="14" t="s">
        <v>649</v>
      </c>
      <c r="C6" s="6" t="s">
        <v>650</v>
      </c>
      <c r="D6" s="6" t="s">
        <v>65</v>
      </c>
    </row>
    <row r="7" spans="1:4">
      <c r="A7" s="6" t="s">
        <v>645</v>
      </c>
      <c r="B7" s="14" t="s">
        <v>651</v>
      </c>
      <c r="C7" s="6" t="s">
        <v>652</v>
      </c>
      <c r="D7" s="6" t="s">
        <v>71</v>
      </c>
    </row>
    <row r="8" spans="1:4">
      <c r="A8" s="6" t="s">
        <v>645</v>
      </c>
      <c r="B8" s="14" t="s">
        <v>653</v>
      </c>
      <c r="C8" s="6" t="s">
        <v>654</v>
      </c>
      <c r="D8" s="6" t="s">
        <v>84</v>
      </c>
    </row>
    <row r="9" spans="1:4">
      <c r="A9" s="6" t="s">
        <v>645</v>
      </c>
      <c r="B9" s="14" t="s">
        <v>331</v>
      </c>
      <c r="C9" s="6" t="s">
        <v>655</v>
      </c>
      <c r="D9" s="6" t="s">
        <v>656</v>
      </c>
    </row>
    <row r="10" spans="1:4">
      <c r="A10" s="6" t="s">
        <v>645</v>
      </c>
      <c r="B10" s="14" t="s">
        <v>657</v>
      </c>
      <c r="C10" s="6" t="s">
        <v>658</v>
      </c>
      <c r="D10" s="6" t="s">
        <v>659</v>
      </c>
    </row>
    <row r="11" spans="1:4">
      <c r="A11" s="6" t="s">
        <v>645</v>
      </c>
      <c r="B11" s="14" t="s">
        <v>411</v>
      </c>
      <c r="C11" s="6" t="s">
        <v>660</v>
      </c>
      <c r="D11" s="6" t="s">
        <v>661</v>
      </c>
    </row>
    <row r="12" spans="1:4">
      <c r="A12" s="6" t="s">
        <v>645</v>
      </c>
      <c r="B12" s="14" t="s">
        <v>662</v>
      </c>
      <c r="C12" s="6" t="s">
        <v>663</v>
      </c>
      <c r="D12" s="6" t="s">
        <v>113</v>
      </c>
    </row>
    <row r="13" spans="1:4">
      <c r="A13" s="6" t="s">
        <v>645</v>
      </c>
      <c r="B13" s="14" t="s">
        <v>664</v>
      </c>
      <c r="C13" s="6" t="s">
        <v>665</v>
      </c>
      <c r="D13" s="6" t="s">
        <v>116</v>
      </c>
    </row>
    <row r="14" spans="1:4">
      <c r="A14" s="6" t="s">
        <v>645</v>
      </c>
      <c r="B14" s="14" t="s">
        <v>580</v>
      </c>
      <c r="C14" s="6" t="s">
        <v>666</v>
      </c>
      <c r="D14" s="6" t="s">
        <v>667</v>
      </c>
    </row>
    <row r="15" spans="1:4">
      <c r="A15" s="6" t="s">
        <v>645</v>
      </c>
      <c r="B15" s="14" t="s">
        <v>668</v>
      </c>
      <c r="C15" s="6" t="s">
        <v>669</v>
      </c>
      <c r="D15" s="6" t="s">
        <v>184</v>
      </c>
    </row>
    <row r="16" spans="1:4">
      <c r="A16" s="6" t="s">
        <v>645</v>
      </c>
      <c r="B16" s="14" t="s">
        <v>670</v>
      </c>
      <c r="C16" s="6" t="s">
        <v>671</v>
      </c>
      <c r="D16" s="6" t="s">
        <v>194</v>
      </c>
    </row>
    <row r="17" spans="1:4">
      <c r="A17" s="6" t="s">
        <v>645</v>
      </c>
      <c r="B17" s="14" t="s">
        <v>672</v>
      </c>
      <c r="C17" s="6" t="s">
        <v>567</v>
      </c>
      <c r="D17" s="6" t="s">
        <v>197</v>
      </c>
    </row>
    <row r="18" spans="1:4">
      <c r="A18" s="6" t="s">
        <v>645</v>
      </c>
      <c r="B18" s="14" t="s">
        <v>617</v>
      </c>
      <c r="C18" s="6" t="s">
        <v>673</v>
      </c>
      <c r="D18" s="6" t="s">
        <v>674</v>
      </c>
    </row>
    <row r="19" spans="1:4">
      <c r="A19" s="6" t="s">
        <v>645</v>
      </c>
      <c r="B19" s="14" t="s">
        <v>675</v>
      </c>
      <c r="C19" s="6" t="s">
        <v>676</v>
      </c>
      <c r="D19" s="6" t="s">
        <v>214</v>
      </c>
    </row>
    <row r="20" spans="1:4">
      <c r="A20" s="6" t="s">
        <v>645</v>
      </c>
      <c r="B20" s="14" t="s">
        <v>677</v>
      </c>
      <c r="C20" s="6" t="s">
        <v>678</v>
      </c>
      <c r="D20" s="6" t="s">
        <v>217</v>
      </c>
    </row>
    <row r="21" spans="1:4">
      <c r="A21" s="6" t="s">
        <v>645</v>
      </c>
      <c r="B21" s="14" t="s">
        <v>636</v>
      </c>
      <c r="C21" s="6" t="s">
        <v>679</v>
      </c>
      <c r="D21" s="6" t="s">
        <v>680</v>
      </c>
    </row>
    <row r="22" spans="1:4">
      <c r="A22" s="6" t="s">
        <v>645</v>
      </c>
      <c r="B22" s="14" t="s">
        <v>681</v>
      </c>
      <c r="C22" s="6" t="s">
        <v>682</v>
      </c>
      <c r="D22" s="6" t="s">
        <v>246</v>
      </c>
    </row>
    <row r="24" spans="1:4">
      <c r="A24" s="18" t="s">
        <v>683</v>
      </c>
    </row>
    <row r="25" spans="1:4">
      <c r="A25" s="5" t="s">
        <v>642</v>
      </c>
      <c r="B25" s="5" t="s">
        <v>16</v>
      </c>
      <c r="C25" s="5" t="s">
        <v>643</v>
      </c>
      <c r="D25" s="5" t="s">
        <v>644</v>
      </c>
    </row>
    <row r="26" spans="1:4">
      <c r="A26" s="6" t="s">
        <v>684</v>
      </c>
      <c r="B26" s="14" t="s">
        <v>397</v>
      </c>
      <c r="C26" s="6" t="s">
        <v>685</v>
      </c>
      <c r="D26" s="6" t="s">
        <v>686</v>
      </c>
    </row>
    <row r="27" spans="1:4">
      <c r="A27" s="6" t="s">
        <v>684</v>
      </c>
      <c r="B27" s="14" t="s">
        <v>550</v>
      </c>
      <c r="C27" s="6" t="s">
        <v>687</v>
      </c>
      <c r="D27" s="6" t="s">
        <v>688</v>
      </c>
    </row>
    <row r="28" spans="1:4">
      <c r="A28" s="6" t="s">
        <v>684</v>
      </c>
      <c r="B28" s="14" t="s">
        <v>689</v>
      </c>
      <c r="C28" s="6" t="s">
        <v>690</v>
      </c>
      <c r="D28" s="6" t="s">
        <v>691</v>
      </c>
    </row>
    <row r="29" spans="1:4">
      <c r="A29" s="6" t="s">
        <v>684</v>
      </c>
      <c r="B29" s="14" t="s">
        <v>468</v>
      </c>
      <c r="C29" s="6" t="s">
        <v>692</v>
      </c>
      <c r="D29" s="6" t="s">
        <v>693</v>
      </c>
    </row>
    <row r="30" spans="1:4">
      <c r="A30" s="6" t="s">
        <v>684</v>
      </c>
      <c r="B30" s="14" t="s">
        <v>694</v>
      </c>
      <c r="C30" s="6" t="s">
        <v>695</v>
      </c>
      <c r="D30" s="6" t="s">
        <v>156</v>
      </c>
    </row>
    <row r="31" spans="1:4">
      <c r="A31" s="6" t="s">
        <v>684</v>
      </c>
      <c r="B31" s="14" t="s">
        <v>696</v>
      </c>
      <c r="C31" s="6" t="s">
        <v>697</v>
      </c>
      <c r="D31" s="6" t="s">
        <v>159</v>
      </c>
    </row>
    <row r="32" spans="1:4">
      <c r="A32" s="6" t="s">
        <v>684</v>
      </c>
      <c r="B32" s="14" t="s">
        <v>498</v>
      </c>
      <c r="C32" s="6" t="s">
        <v>485</v>
      </c>
      <c r="D32" s="6" t="s">
        <v>698</v>
      </c>
    </row>
    <row r="33" spans="1:4">
      <c r="A33" s="6" t="s">
        <v>684</v>
      </c>
      <c r="B33" s="14" t="s">
        <v>520</v>
      </c>
      <c r="C33" s="6" t="s">
        <v>699</v>
      </c>
      <c r="D33" s="6" t="s">
        <v>700</v>
      </c>
    </row>
    <row r="34" spans="1:4">
      <c r="A34" s="6" t="s">
        <v>684</v>
      </c>
      <c r="B34" s="14" t="s">
        <v>701</v>
      </c>
      <c r="C34" s="6" t="s">
        <v>702</v>
      </c>
      <c r="D34" s="6" t="s">
        <v>181</v>
      </c>
    </row>
    <row r="35" spans="1:4">
      <c r="A35" s="6" t="s">
        <v>684</v>
      </c>
      <c r="B35" s="14" t="s">
        <v>703</v>
      </c>
      <c r="C35" s="6" t="s">
        <v>704</v>
      </c>
      <c r="D35" s="6" t="s">
        <v>203</v>
      </c>
    </row>
    <row r="36" spans="1:4">
      <c r="A36" s="6" t="s">
        <v>684</v>
      </c>
      <c r="B36" s="14" t="s">
        <v>705</v>
      </c>
      <c r="C36" s="6" t="s">
        <v>706</v>
      </c>
      <c r="D36" s="6" t="s">
        <v>226</v>
      </c>
    </row>
    <row r="37" spans="1:4">
      <c r="A37" s="6" t="s">
        <v>684</v>
      </c>
      <c r="B37" s="14" t="s">
        <v>707</v>
      </c>
      <c r="C37" s="6" t="s">
        <v>708</v>
      </c>
      <c r="D37" s="6" t="s">
        <v>229</v>
      </c>
    </row>
    <row r="38" spans="1:4">
      <c r="A38" s="6" t="s">
        <v>684</v>
      </c>
      <c r="B38" s="14" t="s">
        <v>709</v>
      </c>
      <c r="C38" s="6" t="s">
        <v>710</v>
      </c>
      <c r="D38" s="6" t="s">
        <v>235</v>
      </c>
    </row>
    <row r="40" spans="1:4">
      <c r="A40" s="18" t="s">
        <v>711</v>
      </c>
    </row>
    <row r="41" spans="1:4">
      <c r="A41" s="5" t="s">
        <v>642</v>
      </c>
      <c r="B41" s="5" t="s">
        <v>16</v>
      </c>
      <c r="C41" s="5" t="s">
        <v>643</v>
      </c>
      <c r="D41" s="5" t="s">
        <v>644</v>
      </c>
    </row>
    <row r="42" spans="1:4">
      <c r="A42" s="6" t="s">
        <v>712</v>
      </c>
      <c r="B42" s="14" t="s">
        <v>558</v>
      </c>
      <c r="C42" s="6" t="s">
        <v>713</v>
      </c>
      <c r="D42" s="6" t="s">
        <v>191</v>
      </c>
    </row>
    <row r="43" spans="1:4">
      <c r="A43" s="6" t="s">
        <v>712</v>
      </c>
      <c r="B43" s="14" t="s">
        <v>714</v>
      </c>
      <c r="C43" s="6" t="s">
        <v>715</v>
      </c>
      <c r="D43" s="6" t="s">
        <v>194</v>
      </c>
    </row>
  </sheetData>
  <mergeCells count="4">
    <mergeCell ref="A1:D1"/>
    <mergeCell ref="A3:D3"/>
    <mergeCell ref="A24:D24"/>
    <mergeCell ref="A40:D40"/>
  </mergeCells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 outlineLevelCol="0"/>
  <cols>
    <col customWidth="1" max="1" min="1" width="32"/>
    <col customWidth="1" max="2" min="2" width="10"/>
    <col customWidth="1" max="3" min="3" width="40"/>
    <col customWidth="1" max="4" min="4" width="22"/>
    <col customWidth="1" max="5" min="5" width="12"/>
  </cols>
  <sheetData>
    <row r="1" spans="1:5">
      <c r="A1" s="12" t="s">
        <v>716</v>
      </c>
    </row>
    <row r="2" spans="1:5">
      <c r="A2" s="15" t="s">
        <v>717</v>
      </c>
    </row>
    <row r="4" spans="1:5">
      <c r="A4" s="5" t="s">
        <v>18</v>
      </c>
      <c r="B4" s="5" t="s">
        <v>718</v>
      </c>
      <c r="C4" s="5" t="s">
        <v>719</v>
      </c>
      <c r="D4" s="5" t="s">
        <v>644</v>
      </c>
      <c r="E4" s="5" t="s">
        <v>57</v>
      </c>
    </row>
    <row r="5" spans="1:5">
      <c r="A5" s="19" t="s">
        <v>282</v>
      </c>
      <c r="B5" s="20" t="s">
        <v>720</v>
      </c>
      <c r="C5" s="19" t="s">
        <v>721</v>
      </c>
      <c r="D5" s="6" t="s">
        <v>722</v>
      </c>
      <c r="E5" s="21" t="s">
        <v>723</v>
      </c>
    </row>
    <row r="6" spans="1:5">
      <c r="A6" s="19" t="s">
        <v>724</v>
      </c>
      <c r="B6" s="20" t="s">
        <v>720</v>
      </c>
      <c r="C6" s="19" t="s">
        <v>725</v>
      </c>
      <c r="D6" s="6" t="s">
        <v>84</v>
      </c>
      <c r="E6" s="21" t="s">
        <v>723</v>
      </c>
    </row>
    <row r="7" spans="1:5">
      <c r="A7" s="19" t="s">
        <v>726</v>
      </c>
      <c r="B7" s="20" t="s">
        <v>720</v>
      </c>
      <c r="C7" s="19" t="s">
        <v>727</v>
      </c>
      <c r="D7" s="6" t="s">
        <v>728</v>
      </c>
      <c r="E7" s="21" t="s">
        <v>723</v>
      </c>
    </row>
    <row r="8" spans="1:5">
      <c r="A8" s="19" t="s">
        <v>729</v>
      </c>
      <c r="B8" s="20" t="s">
        <v>720</v>
      </c>
      <c r="C8" s="19" t="s">
        <v>730</v>
      </c>
      <c r="D8" s="6" t="s">
        <v>103</v>
      </c>
      <c r="E8" s="21" t="s">
        <v>723</v>
      </c>
    </row>
    <row r="9" spans="1:5">
      <c r="A9" s="19" t="s">
        <v>731</v>
      </c>
      <c r="B9" s="17" t="s">
        <v>732</v>
      </c>
      <c r="C9" s="19" t="s">
        <v>733</v>
      </c>
      <c r="D9" s="6" t="s">
        <v>109</v>
      </c>
      <c r="E9" s="21" t="s">
        <v>723</v>
      </c>
    </row>
    <row r="10" spans="1:5">
      <c r="A10" s="19" t="s">
        <v>734</v>
      </c>
      <c r="B10" s="17" t="s">
        <v>732</v>
      </c>
      <c r="C10" s="19" t="s">
        <v>735</v>
      </c>
      <c r="D10" s="6" t="s">
        <v>113</v>
      </c>
      <c r="E10" s="21" t="s">
        <v>723</v>
      </c>
    </row>
    <row r="11" spans="1:5">
      <c r="A11" s="19" t="s">
        <v>736</v>
      </c>
      <c r="B11" s="17" t="s">
        <v>732</v>
      </c>
      <c r="C11" s="19" t="s">
        <v>737</v>
      </c>
      <c r="D11" s="6" t="s">
        <v>116</v>
      </c>
      <c r="E11" s="21" t="s">
        <v>723</v>
      </c>
    </row>
    <row r="12" spans="1:5">
      <c r="A12" s="19" t="s">
        <v>738</v>
      </c>
      <c r="B12" s="17" t="s">
        <v>732</v>
      </c>
      <c r="C12" s="19" t="s">
        <v>739</v>
      </c>
      <c r="D12" s="6" t="s">
        <v>686</v>
      </c>
      <c r="E12" s="21" t="s">
        <v>723</v>
      </c>
    </row>
    <row r="13" spans="1:5">
      <c r="A13" s="19" t="s">
        <v>740</v>
      </c>
      <c r="B13" s="20" t="s">
        <v>720</v>
      </c>
      <c r="C13" s="19" t="s">
        <v>741</v>
      </c>
      <c r="D13" s="6" t="s">
        <v>742</v>
      </c>
      <c r="E13" s="21" t="s">
        <v>723</v>
      </c>
    </row>
    <row r="14" spans="1:5">
      <c r="A14" s="19" t="s">
        <v>419</v>
      </c>
      <c r="B14" s="20" t="s">
        <v>720</v>
      </c>
      <c r="C14" s="19" t="s">
        <v>743</v>
      </c>
      <c r="D14" s="6" t="s">
        <v>744</v>
      </c>
      <c r="E14" s="21" t="s">
        <v>723</v>
      </c>
    </row>
    <row r="15" spans="1:5">
      <c r="A15" s="19" t="s">
        <v>745</v>
      </c>
      <c r="B15" s="17" t="s">
        <v>732</v>
      </c>
      <c r="C15" s="19" t="s">
        <v>746</v>
      </c>
      <c r="D15" s="6" t="s">
        <v>137</v>
      </c>
      <c r="E15" s="21" t="s">
        <v>723</v>
      </c>
    </row>
    <row r="16" spans="1:5">
      <c r="A16" s="19" t="s">
        <v>747</v>
      </c>
      <c r="B16" s="17" t="s">
        <v>732</v>
      </c>
      <c r="C16" s="19" t="s">
        <v>748</v>
      </c>
      <c r="D16" s="6" t="s">
        <v>141</v>
      </c>
      <c r="E16" s="21" t="s">
        <v>723</v>
      </c>
    </row>
    <row r="17" spans="1:5">
      <c r="A17" s="19" t="s">
        <v>749</v>
      </c>
      <c r="B17" s="16" t="s">
        <v>750</v>
      </c>
      <c r="C17" s="19" t="s">
        <v>751</v>
      </c>
      <c r="D17" s="6" t="s">
        <v>144</v>
      </c>
      <c r="E17" s="21" t="s">
        <v>723</v>
      </c>
    </row>
    <row r="18" spans="1:5">
      <c r="A18" s="19" t="s">
        <v>752</v>
      </c>
      <c r="B18" s="17" t="s">
        <v>732</v>
      </c>
      <c r="C18" s="19" t="s">
        <v>753</v>
      </c>
      <c r="D18" s="6" t="s">
        <v>147</v>
      </c>
      <c r="E18" s="21" t="s">
        <v>723</v>
      </c>
    </row>
    <row r="19" spans="1:5">
      <c r="A19" s="19" t="s">
        <v>754</v>
      </c>
      <c r="B19" s="17" t="s">
        <v>732</v>
      </c>
      <c r="C19" s="19" t="s">
        <v>755</v>
      </c>
      <c r="D19" s="6" t="s">
        <v>150</v>
      </c>
      <c r="E19" s="21" t="s">
        <v>723</v>
      </c>
    </row>
    <row r="20" spans="1:5">
      <c r="A20" s="19" t="s">
        <v>756</v>
      </c>
      <c r="B20" s="16" t="s">
        <v>750</v>
      </c>
      <c r="C20" s="19" t="s">
        <v>757</v>
      </c>
      <c r="D20" s="6" t="s">
        <v>153</v>
      </c>
      <c r="E20" s="21" t="s">
        <v>723</v>
      </c>
    </row>
    <row r="21" spans="1:5">
      <c r="A21" s="19" t="s">
        <v>758</v>
      </c>
      <c r="B21" s="16" t="s">
        <v>750</v>
      </c>
      <c r="C21" s="19" t="s">
        <v>759</v>
      </c>
      <c r="D21" s="6" t="s">
        <v>156</v>
      </c>
      <c r="E21" s="21" t="s">
        <v>723</v>
      </c>
    </row>
    <row r="22" spans="1:5">
      <c r="A22" s="19" t="s">
        <v>760</v>
      </c>
      <c r="B22" s="16" t="s">
        <v>750</v>
      </c>
      <c r="C22" s="19" t="s">
        <v>761</v>
      </c>
      <c r="D22" s="6" t="s">
        <v>159</v>
      </c>
      <c r="E22" s="21" t="s">
        <v>723</v>
      </c>
    </row>
    <row r="23" spans="1:5">
      <c r="A23" s="19" t="s">
        <v>762</v>
      </c>
      <c r="B23" s="17" t="s">
        <v>732</v>
      </c>
      <c r="C23" s="19" t="s">
        <v>763</v>
      </c>
      <c r="D23" s="6" t="s">
        <v>698</v>
      </c>
      <c r="E23" s="21" t="s">
        <v>723</v>
      </c>
    </row>
    <row r="24" spans="1:5">
      <c r="A24" s="19" t="s">
        <v>764</v>
      </c>
      <c r="B24" s="20" t="s">
        <v>720</v>
      </c>
      <c r="C24" s="19" t="s">
        <v>765</v>
      </c>
      <c r="D24" s="6" t="s">
        <v>766</v>
      </c>
      <c r="E24" s="21" t="s">
        <v>723</v>
      </c>
    </row>
    <row r="25" spans="1:5">
      <c r="A25" s="19" t="s">
        <v>767</v>
      </c>
      <c r="B25" s="20" t="s">
        <v>720</v>
      </c>
      <c r="C25" s="19" t="s">
        <v>768</v>
      </c>
      <c r="D25" s="6" t="s">
        <v>178</v>
      </c>
      <c r="E25" s="21" t="s">
        <v>723</v>
      </c>
    </row>
    <row r="26" spans="1:5">
      <c r="A26" s="19" t="s">
        <v>769</v>
      </c>
      <c r="B26" s="20" t="s">
        <v>720</v>
      </c>
      <c r="C26" s="19" t="s">
        <v>770</v>
      </c>
      <c r="D26" s="6" t="s">
        <v>181</v>
      </c>
      <c r="E26" s="21" t="s">
        <v>723</v>
      </c>
    </row>
    <row r="27" spans="1:5">
      <c r="A27" s="19" t="s">
        <v>771</v>
      </c>
      <c r="B27" s="17" t="s">
        <v>732</v>
      </c>
      <c r="C27" s="19" t="s">
        <v>772</v>
      </c>
      <c r="D27" s="6" t="s">
        <v>184</v>
      </c>
      <c r="E27" s="21" t="s">
        <v>723</v>
      </c>
    </row>
    <row r="28" spans="1:5">
      <c r="A28" s="19" t="s">
        <v>773</v>
      </c>
      <c r="B28" s="17" t="s">
        <v>732</v>
      </c>
      <c r="C28" s="19" t="s">
        <v>774</v>
      </c>
      <c r="D28" s="6" t="s">
        <v>188</v>
      </c>
      <c r="E28" s="21" t="s">
        <v>723</v>
      </c>
    </row>
    <row r="29" spans="1:5">
      <c r="A29" s="19" t="s">
        <v>775</v>
      </c>
      <c r="B29" s="17" t="s">
        <v>732</v>
      </c>
      <c r="C29" s="19" t="s">
        <v>776</v>
      </c>
      <c r="D29" s="6" t="s">
        <v>194</v>
      </c>
      <c r="E29" s="21" t="s">
        <v>723</v>
      </c>
    </row>
    <row r="30" spans="1:5">
      <c r="A30" s="19" t="s">
        <v>777</v>
      </c>
      <c r="B30" s="21" t="s">
        <v>778</v>
      </c>
      <c r="C30" s="19" t="s">
        <v>779</v>
      </c>
      <c r="D30" s="6" t="s">
        <v>197</v>
      </c>
      <c r="E30" s="21" t="s">
        <v>723</v>
      </c>
    </row>
    <row r="31" spans="1:5">
      <c r="A31" s="19" t="s">
        <v>780</v>
      </c>
      <c r="B31" s="20" t="s">
        <v>720</v>
      </c>
      <c r="C31" s="19" t="s">
        <v>781</v>
      </c>
      <c r="D31" s="6" t="s">
        <v>209</v>
      </c>
      <c r="E31" s="16" t="s">
        <v>600</v>
      </c>
    </row>
    <row r="32" spans="1:5">
      <c r="A32" s="19" t="s">
        <v>782</v>
      </c>
      <c r="B32" s="17" t="s">
        <v>732</v>
      </c>
      <c r="C32" s="19" t="s">
        <v>783</v>
      </c>
      <c r="D32" s="6" t="s">
        <v>214</v>
      </c>
      <c r="E32" s="16" t="s">
        <v>600</v>
      </c>
    </row>
    <row r="33" spans="1:5">
      <c r="A33" s="19" t="s">
        <v>784</v>
      </c>
      <c r="B33" s="17" t="s">
        <v>732</v>
      </c>
      <c r="C33" s="19" t="s">
        <v>785</v>
      </c>
      <c r="D33" s="6" t="s">
        <v>217</v>
      </c>
      <c r="E33" s="16" t="s">
        <v>600</v>
      </c>
    </row>
    <row r="34" spans="1:5">
      <c r="A34" s="19" t="s">
        <v>786</v>
      </c>
      <c r="B34" s="17" t="s">
        <v>732</v>
      </c>
      <c r="C34" s="19" t="s">
        <v>787</v>
      </c>
      <c r="D34" s="6" t="s">
        <v>226</v>
      </c>
      <c r="E34" s="16" t="s">
        <v>600</v>
      </c>
    </row>
    <row r="35" spans="1:5">
      <c r="A35" s="19" t="s">
        <v>788</v>
      </c>
      <c r="B35" s="20" t="s">
        <v>720</v>
      </c>
      <c r="C35" s="19" t="s">
        <v>789</v>
      </c>
      <c r="D35" s="6" t="s">
        <v>229</v>
      </c>
      <c r="E35" s="16" t="s">
        <v>600</v>
      </c>
    </row>
    <row r="36" spans="1:5">
      <c r="A36" s="19" t="s">
        <v>790</v>
      </c>
      <c r="B36" s="17" t="s">
        <v>732</v>
      </c>
      <c r="C36" s="19" t="s">
        <v>791</v>
      </c>
      <c r="D36" s="6" t="s">
        <v>235</v>
      </c>
      <c r="E36" s="17" t="s">
        <v>627</v>
      </c>
    </row>
    <row r="37" spans="1:5">
      <c r="A37" s="19" t="s">
        <v>792</v>
      </c>
      <c r="B37" s="17" t="s">
        <v>732</v>
      </c>
      <c r="C37" s="19" t="s">
        <v>793</v>
      </c>
      <c r="D37" s="6" t="s">
        <v>680</v>
      </c>
      <c r="E37" s="17" t="s">
        <v>627</v>
      </c>
    </row>
    <row r="38" spans="1:5">
      <c r="A38" s="19" t="s">
        <v>794</v>
      </c>
      <c r="B38" s="17" t="s">
        <v>732</v>
      </c>
      <c r="C38" s="19" t="s">
        <v>795</v>
      </c>
      <c r="D38" s="6" t="s">
        <v>246</v>
      </c>
      <c r="E38" s="17" t="s">
        <v>627</v>
      </c>
    </row>
    <row r="40" spans="1:5">
      <c r="A40" s="18" t="s">
        <v>796</v>
      </c>
    </row>
    <row r="41" spans="1:5">
      <c r="A41" s="3" t="s">
        <v>720</v>
      </c>
      <c r="B41">
        <f>COUNTIF(B5:B39,"GET")</f>
        <v/>
      </c>
    </row>
    <row r="42" spans="1:5">
      <c r="A42" s="3" t="s">
        <v>732</v>
      </c>
      <c r="B42">
        <f>COUNTIF(B5:B39,"POST")</f>
        <v/>
      </c>
    </row>
    <row r="43" spans="1:5">
      <c r="A43" s="3" t="s">
        <v>750</v>
      </c>
      <c r="B43">
        <f>COUNTIF(B5:B39,"PATCH")</f>
        <v/>
      </c>
    </row>
    <row r="44" spans="1:5">
      <c r="A44" s="3" t="s">
        <v>778</v>
      </c>
      <c r="B44">
        <f>COUNTIF(B5:B39,"DELETE")</f>
        <v/>
      </c>
    </row>
  </sheetData>
  <autoFilter ref="A4:E38"/>
  <mergeCells count="2">
    <mergeCell ref="A1:E1"/>
    <mergeCell ref="A2:E2"/>
  </mergeCells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 outlineLevelCol="0"/>
  <cols>
    <col customWidth="1" max="1" min="1" width="10"/>
    <col customWidth="1" max="2" min="2" width="14"/>
    <col customWidth="1" max="3" min="3" width="90"/>
    <col customWidth="1" max="4" min="4" width="10"/>
  </cols>
  <sheetData>
    <row r="1" spans="1:4">
      <c r="A1" s="12" t="s">
        <v>797</v>
      </c>
    </row>
    <row r="3" spans="1:4">
      <c r="A3" s="5" t="s">
        <v>5</v>
      </c>
      <c r="B3" s="5" t="s">
        <v>798</v>
      </c>
      <c r="C3" s="5" t="s">
        <v>799</v>
      </c>
      <c r="D3" s="5" t="s">
        <v>800</v>
      </c>
    </row>
    <row customHeight="1" ht="60" r="4" spans="1:4">
      <c r="A4" s="22" t="s">
        <v>6</v>
      </c>
      <c r="B4" s="23" t="s">
        <v>4</v>
      </c>
      <c r="C4" s="6" t="s">
        <v>801</v>
      </c>
      <c r="D4" s="24" t="s">
        <v>802</v>
      </c>
    </row>
  </sheetData>
  <mergeCells count="1">
    <mergeCell ref="A1:D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2026-05-31T19:48:36Z</dcterms:created>
  <dcterms:modified xmlns:dcterms="http://purl.org/dc/terms/" xmlns:xsi="http://www.w3.org/2001/XMLSchema-instance" xsi:type="dcterms:W3CDTF">2026-05-31T19:48:36Z</dcterms:modified>
</cp:coreProperties>
</file>